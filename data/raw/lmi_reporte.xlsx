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56" documentId="8_{2553D8ED-1A7D-4653-A81C-B563898AD95F}" xr6:coauthVersionLast="47" xr6:coauthVersionMax="47" xr10:uidLastSave="{08A65329-72D2-429A-A131-7D2081412124}"/>
  <bookViews>
    <workbookView xWindow="-108" yWindow="-108" windowWidth="23256" windowHeight="12456" xr2:uid="{0ABA65E9-32CA-4FC8-8179-9B0EBD2C31C1}"/>
  </bookViews>
  <sheets>
    <sheet name="Worksheet" sheetId="1" r:id="rId1"/>
    <sheet name="Worksheet (2)" sheetId="2" r:id="rId2"/>
  </sheets>
  <externalReferences>
    <externalReference r:id="rId3"/>
  </externalReferences>
  <definedNames>
    <definedName name="_xlnm._FilterDatabase" localSheetId="0" hidden="1">Worksheet!$A$1:$Y$786</definedName>
    <definedName name="_xlnm._FilterDatabase" localSheetId="1" hidden="1">'Worksheet (2)'!$A$1:$AA$298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8" i="2" l="1"/>
  <c r="Z298" i="2"/>
  <c r="AA297" i="2"/>
  <c r="Z297" i="2"/>
  <c r="AA296" i="2"/>
  <c r="Z296" i="2"/>
  <c r="AA295" i="2"/>
  <c r="Z295" i="2"/>
  <c r="AA294" i="2"/>
  <c r="Z294" i="2"/>
  <c r="AA293" i="2"/>
  <c r="Z293" i="2"/>
  <c r="AA292" i="2"/>
  <c r="Z292" i="2"/>
  <c r="AA291" i="2"/>
  <c r="Z291" i="2"/>
  <c r="AA290" i="2"/>
  <c r="Z290" i="2"/>
  <c r="AA289" i="2"/>
  <c r="Z289" i="2"/>
  <c r="AA288" i="2"/>
  <c r="Z288" i="2"/>
  <c r="AA287" i="2"/>
  <c r="Z287" i="2"/>
  <c r="AA286" i="2"/>
  <c r="Z286" i="2"/>
  <c r="AA285" i="2"/>
  <c r="Z285" i="2"/>
  <c r="AA284" i="2"/>
  <c r="Z284" i="2"/>
  <c r="AA283" i="2"/>
  <c r="Z283" i="2"/>
  <c r="AA282" i="2"/>
  <c r="Z282" i="2"/>
  <c r="AA281" i="2"/>
  <c r="Z281" i="2"/>
  <c r="AA280" i="2"/>
  <c r="Z280" i="2"/>
  <c r="AA279" i="2"/>
  <c r="Z279" i="2"/>
  <c r="AA278" i="2"/>
  <c r="Z278" i="2"/>
  <c r="AA277" i="2"/>
  <c r="Z277" i="2"/>
  <c r="AA276" i="2"/>
  <c r="Z276" i="2"/>
  <c r="AA275" i="2"/>
  <c r="Z275" i="2"/>
  <c r="AA274" i="2"/>
  <c r="Z274" i="2"/>
  <c r="AA273" i="2"/>
  <c r="Z273" i="2"/>
  <c r="AA272" i="2"/>
  <c r="Z272" i="2"/>
  <c r="AA271" i="2"/>
  <c r="Z271" i="2"/>
  <c r="AA270" i="2"/>
  <c r="Z270" i="2"/>
  <c r="AA269" i="2"/>
  <c r="Z269" i="2"/>
  <c r="AA268" i="2"/>
  <c r="Z268" i="2"/>
  <c r="AA267" i="2"/>
  <c r="Z267" i="2"/>
  <c r="AA266" i="2"/>
  <c r="Z266" i="2"/>
  <c r="AA265" i="2"/>
  <c r="Z265" i="2"/>
  <c r="AA264" i="2"/>
  <c r="Z264" i="2"/>
  <c r="AA263" i="2"/>
  <c r="Z263" i="2"/>
  <c r="AA262" i="2"/>
  <c r="Z262" i="2"/>
  <c r="AA261" i="2"/>
  <c r="Z261" i="2"/>
  <c r="AA260" i="2"/>
  <c r="Z260" i="2"/>
  <c r="AA259" i="2"/>
  <c r="Z259" i="2"/>
  <c r="AA258" i="2"/>
  <c r="Z258" i="2"/>
  <c r="AA257" i="2"/>
  <c r="Z257" i="2"/>
  <c r="AA256" i="2"/>
  <c r="Z256" i="2"/>
  <c r="AA255" i="2"/>
  <c r="Z255" i="2"/>
  <c r="AA254" i="2"/>
  <c r="Z254" i="2"/>
  <c r="AA253" i="2"/>
  <c r="Z253" i="2"/>
  <c r="AA252" i="2"/>
  <c r="Z252" i="2"/>
  <c r="AA251" i="2"/>
  <c r="Z251" i="2"/>
  <c r="AA250" i="2"/>
  <c r="Z250" i="2"/>
  <c r="AA249" i="2"/>
  <c r="Z249" i="2"/>
  <c r="AA248" i="2"/>
  <c r="Z248" i="2"/>
  <c r="AA247" i="2"/>
  <c r="Z247" i="2"/>
  <c r="AA246" i="2"/>
  <c r="Z246" i="2"/>
  <c r="AA245" i="2"/>
  <c r="Z245" i="2"/>
  <c r="AA244" i="2"/>
  <c r="Z244" i="2"/>
  <c r="AA243" i="2"/>
  <c r="Z243" i="2"/>
  <c r="AA242" i="2"/>
  <c r="Z242" i="2"/>
  <c r="AA241" i="2"/>
  <c r="Z241" i="2"/>
  <c r="AA240" i="2"/>
  <c r="Z240" i="2"/>
  <c r="AA239" i="2"/>
  <c r="Z239" i="2"/>
  <c r="AA238" i="2"/>
  <c r="Z238" i="2"/>
  <c r="AA237" i="2"/>
  <c r="Z237" i="2"/>
  <c r="AA236" i="2"/>
  <c r="Z236" i="2"/>
  <c r="AA235" i="2"/>
  <c r="Z235" i="2"/>
  <c r="AA234" i="2"/>
  <c r="Z234" i="2"/>
  <c r="AA233" i="2"/>
  <c r="Z233" i="2"/>
  <c r="AA232" i="2"/>
  <c r="Z232" i="2"/>
  <c r="AA231" i="2"/>
  <c r="Z231" i="2"/>
  <c r="AA230" i="2"/>
  <c r="Z230" i="2"/>
  <c r="AA229" i="2"/>
  <c r="Z229" i="2"/>
  <c r="AA228" i="2"/>
  <c r="Z228" i="2"/>
  <c r="AA227" i="2"/>
  <c r="Z227" i="2"/>
  <c r="AA226" i="2"/>
  <c r="Z226" i="2"/>
  <c r="AA225" i="2"/>
  <c r="Z225" i="2"/>
  <c r="AA224" i="2"/>
  <c r="Z224" i="2"/>
  <c r="AA223" i="2"/>
  <c r="Z223" i="2"/>
  <c r="AA222" i="2"/>
  <c r="Z222" i="2"/>
  <c r="AA221" i="2"/>
  <c r="Z221" i="2"/>
  <c r="AA220" i="2"/>
  <c r="Z220" i="2"/>
  <c r="AA219" i="2"/>
  <c r="Z219" i="2"/>
  <c r="AA218" i="2"/>
  <c r="Z218" i="2"/>
  <c r="AA217" i="2"/>
  <c r="Z217" i="2"/>
  <c r="AA216" i="2"/>
  <c r="Z216" i="2"/>
  <c r="AA215" i="2"/>
  <c r="Z215" i="2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AA67" i="2"/>
  <c r="Z67" i="2"/>
  <c r="AA66" i="2"/>
  <c r="Z66" i="2"/>
  <c r="AA65" i="2"/>
  <c r="Z65" i="2"/>
  <c r="AA64" i="2"/>
  <c r="Z64" i="2"/>
  <c r="AA63" i="2"/>
  <c r="Z63" i="2"/>
  <c r="AA62" i="2"/>
  <c r="Z62" i="2"/>
  <c r="AA61" i="2"/>
  <c r="Z61" i="2"/>
  <c r="AA60" i="2"/>
  <c r="Z60" i="2"/>
  <c r="AA59" i="2"/>
  <c r="Z59" i="2"/>
  <c r="AA58" i="2"/>
  <c r="Z58" i="2"/>
  <c r="AA57" i="2"/>
  <c r="Z57" i="2"/>
  <c r="AA56" i="2"/>
  <c r="Z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AA43" i="2"/>
  <c r="Z43" i="2"/>
  <c r="AA42" i="2"/>
  <c r="Z42" i="2"/>
  <c r="AA41" i="2"/>
  <c r="Z41" i="2"/>
  <c r="AA40" i="2"/>
  <c r="Z40" i="2"/>
  <c r="AA39" i="2"/>
  <c r="Z39" i="2"/>
  <c r="AA38" i="2"/>
  <c r="Z38" i="2"/>
  <c r="AA37" i="2"/>
  <c r="Z37" i="2"/>
  <c r="AA36" i="2"/>
  <c r="Z36" i="2"/>
  <c r="AA35" i="2"/>
  <c r="Z35" i="2"/>
  <c r="AA34" i="2"/>
  <c r="Z34" i="2"/>
  <c r="AA33" i="2"/>
  <c r="Z33" i="2"/>
  <c r="AA32" i="2"/>
  <c r="Z32" i="2"/>
  <c r="AA31" i="2"/>
  <c r="Z31" i="2"/>
  <c r="AA30" i="2"/>
  <c r="Z30" i="2"/>
  <c r="AA29" i="2"/>
  <c r="Z29" i="2"/>
  <c r="AA28" i="2"/>
  <c r="Z28" i="2"/>
  <c r="AA27" i="2"/>
  <c r="Z27" i="2"/>
  <c r="AA26" i="2"/>
  <c r="Z26" i="2"/>
  <c r="AA25" i="2"/>
  <c r="Z25" i="2"/>
  <c r="AA24" i="2"/>
  <c r="Z24" i="2"/>
  <c r="AA23" i="2"/>
  <c r="Z23" i="2"/>
  <c r="AA22" i="2"/>
  <c r="Z22" i="2"/>
  <c r="AA21" i="2"/>
  <c r="Z21" i="2"/>
  <c r="AA20" i="2"/>
  <c r="Z20" i="2"/>
  <c r="AA19" i="2"/>
  <c r="Z19" i="2"/>
  <c r="AA18" i="2"/>
  <c r="Z18" i="2"/>
  <c r="AA17" i="2"/>
  <c r="Z17" i="2"/>
  <c r="AA16" i="2"/>
  <c r="Z16" i="2"/>
  <c r="AA15" i="2"/>
  <c r="Z15" i="2"/>
  <c r="AA14" i="2"/>
  <c r="Z14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  <c r="AA4" i="2"/>
  <c r="Z4" i="2"/>
  <c r="AA3" i="2"/>
  <c r="Z3" i="2"/>
  <c r="AA2" i="2"/>
  <c r="Z2" i="2"/>
</calcChain>
</file>

<file path=xl/sharedStrings.xml><?xml version="1.0" encoding="utf-8"?>
<sst xmlns="http://schemas.openxmlformats.org/spreadsheetml/2006/main" count="16091" uniqueCount="1171">
  <si>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</si>
  <si>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</si>
  <si>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</si>
  <si>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</si>
  <si>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</si>
  <si>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</si>
  <si>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</si>
  <si>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</si>
  <si>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</si>
  <si>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</si>
  <si>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</si>
  <si>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</si>
  <si>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</si>
  <si>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</si>
  <si>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</si>
  <si>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</si>
  <si>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</si>
  <si>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</si>
  <si>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</si>
  <si>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</si>
  <si>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</si>
  <si>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</si>
  <si>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</si>
  <si>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</si>
  <si>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</si>
  <si>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</si>
  <si>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</si>
  <si>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</si>
  <si>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</si>
  <si>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</si>
  <si>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</si>
  <si>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</si>
  <si>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</si>
  <si>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</si>
  <si>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</si>
  <si>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</si>
  <si>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</si>
  <si>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</si>
  <si>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</si>
  <si>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</si>
  <si>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</si>
  <si>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</si>
  <si>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</si>
  <si>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</si>
  <si>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</si>
  <si>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</si>
  <si>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</si>
  <si>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</si>
  <si>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</si>
  <si>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</si>
  <si>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</si>
  <si>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</si>
  <si>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</si>
  <si>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</si>
  <si>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</si>
  <si>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</si>
  <si>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</si>
  <si>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</si>
  <si>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</si>
  <si>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-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</si>
  <si>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</si>
  <si>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</si>
  <si>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</si>
  <si>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</si>
  <si>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</si>
  <si>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</si>
  <si>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</si>
  <si>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</si>
  <si>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</si>
  <si>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</si>
  <si>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</si>
  <si>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</si>
  <si>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</si>
  <si>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</si>
  <si>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</si>
  <si>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</si>
  <si>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</si>
  <si>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</si>
  <si>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</si>
  <si>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</si>
  <si>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</si>
  <si>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</si>
  <si>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</si>
  <si>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</si>
  <si>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</si>
  <si>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</si>
  <si>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</si>
  <si>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</si>
  <si>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</si>
  <si>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</si>
  <si>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</si>
  <si>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</si>
  <si>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</si>
  <si>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</si>
  <si>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</si>
  <si>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</si>
  <si>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</si>
  <si>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</si>
  <si>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</si>
  <si>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</si>
  <si>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</si>
  <si>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</si>
  <si>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</si>
  <si>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</si>
  <si>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</si>
  <si>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</si>
  <si>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</si>
  <si>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</si>
  <si>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</si>
  <si>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</si>
  <si>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</si>
  <si>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</si>
  <si>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</si>
  <si>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</si>
  <si>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</si>
  <si>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</si>
  <si>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</si>
  <si>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</si>
  <si>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</si>
  <si>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</si>
  <si>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</si>
  <si>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</si>
  <si>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</si>
  <si>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</si>
  <si>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</si>
  <si>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</si>
  <si>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</si>
  <si>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</si>
  <si>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</si>
  <si>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</si>
  <si>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</si>
  <si>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</si>
  <si>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</si>
  <si>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</si>
  <si>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</si>
  <si>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</si>
  <si>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</si>
  <si>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</si>
  <si>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</si>
  <si>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</si>
  <si>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</si>
  <si>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</si>
  <si>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</si>
  <si>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</si>
  <si>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</si>
  <si>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</si>
  <si>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</si>
  <si>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</si>
  <si>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</si>
  <si>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</si>
  <si>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</si>
  <si>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</si>
  <si>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</si>
  <si>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</si>
  <si>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</si>
  <si>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</si>
  <si>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</si>
  <si>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</si>
  <si>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</si>
  <si>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</si>
  <si>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</si>
  <si>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</si>
  <si>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</si>
  <si>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</si>
  <si>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</si>
  <si>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</si>
  <si>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</si>
  <si>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</si>
  <si>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</si>
  <si>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</si>
  <si>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</si>
  <si>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</si>
  <si>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</si>
  <si>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</si>
  <si>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</si>
  <si>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</si>
  <si>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</si>
  <si>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</si>
  <si>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</si>
  <si>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</si>
  <si>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</si>
  <si>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</si>
  <si>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</si>
  <si>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</si>
  <si>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</si>
  <si>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</si>
  <si>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</si>
  <si>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</si>
  <si>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</si>
  <si>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</si>
  <si>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</si>
  <si>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</si>
  <si>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</si>
  <si>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</si>
  <si>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</si>
  <si>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</si>
  <si>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</si>
  <si>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</si>
  <si>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</si>
  <si>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</si>
  <si>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</si>
  <si>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</si>
  <si>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</si>
  <si>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</si>
  <si>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</si>
  <si>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</si>
  <si>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</si>
  <si>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</si>
  <si>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</si>
  <si>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</si>
  <si>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</si>
  <si>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</si>
  <si>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</si>
  <si>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</si>
  <si>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</si>
  <si>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</si>
  <si>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</si>
  <si>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</si>
  <si>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</si>
  <si>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</si>
  <si>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</si>
  <si>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</si>
  <si>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</si>
  <si>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</si>
  <si>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</si>
  <si>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</si>
  <si>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</si>
  <si>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</si>
  <si>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</si>
  <si>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</si>
  <si>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</si>
  <si>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</si>
  <si>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</si>
  <si>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</si>
  <si>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</si>
  <si>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</si>
  <si>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</si>
  <si>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</si>
  <si>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</si>
  <si>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</si>
  <si>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</si>
  <si>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</si>
  <si>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</si>
  <si>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</si>
  <si>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</si>
  <si>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</si>
  <si>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</si>
  <si>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</si>
  <si>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</si>
  <si>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</si>
  <si>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</si>
  <si>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</si>
  <si>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</si>
  <si>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</si>
  <si>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</si>
  <si>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</si>
  <si>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</si>
  <si>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</si>
  <si>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</si>
  <si>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</si>
  <si>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</si>
  <si>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</si>
  <si>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</si>
  <si>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</si>
  <si>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</si>
  <si>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</si>
  <si>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</si>
  <si>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</si>
  <si>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</si>
  <si>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</si>
  <si>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</si>
  <si>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</si>
  <si>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</si>
  <si>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</si>
  <si>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</si>
  <si>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</si>
  <si>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</si>
  <si>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</si>
  <si>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</si>
  <si>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</si>
  <si>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</si>
  <si>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</si>
  <si>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</si>
  <si>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</si>
  <si>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</si>
  <si>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</si>
  <si>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</si>
  <si>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</si>
  <si>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</si>
  <si>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</si>
  <si>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</si>
  <si>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</si>
  <si>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</si>
  <si>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</si>
  <si>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</si>
  <si>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</si>
  <si>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</si>
  <si>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</si>
  <si>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</si>
  <si>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</si>
  <si>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</si>
  <si>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</si>
  <si>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</si>
  <si>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</si>
  <si>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</si>
  <si>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</si>
  <si>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</si>
  <si>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</si>
  <si>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</si>
  <si>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</si>
  <si>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</si>
  <si>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</si>
  <si>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</si>
  <si>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</si>
  <si>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</si>
  <si>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</si>
  <si>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</si>
  <si>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</si>
  <si>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</si>
  <si>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</si>
  <si>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</si>
  <si>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</si>
  <si>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</si>
  <si>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</si>
  <si>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</si>
  <si>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</si>
  <si>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</si>
  <si>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</si>
  <si>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</si>
  <si>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</si>
  <si>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</si>
  <si>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</si>
  <si>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</si>
  <si>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</si>
  <si>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</si>
  <si>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</si>
  <si>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</si>
  <si>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</si>
  <si>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</si>
  <si>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</si>
  <si>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</si>
  <si>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</si>
  <si>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</si>
  <si>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</si>
  <si>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</si>
  <si>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</si>
  <si>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</si>
  <si>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</si>
  <si>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</si>
  <si>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</si>
  <si>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</si>
  <si>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</si>
  <si>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</si>
  <si>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</si>
  <si>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</si>
  <si>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</si>
  <si>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</si>
  <si>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</si>
  <si>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</si>
  <si>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</si>
  <si>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</si>
  <si>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</si>
  <si>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</si>
  <si>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</si>
  <si>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</si>
  <si>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</si>
  <si>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</si>
  <si>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</si>
  <si>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</si>
  <si>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</si>
  <si>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</si>
  <si>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</si>
  <si>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</si>
  <si>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</si>
  <si>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</si>
  <si>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</si>
  <si>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</si>
  <si>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</si>
  <si>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</si>
  <si>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</si>
  <si>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</si>
  <si>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</si>
  <si>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</si>
  <si>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</si>
  <si>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</si>
  <si>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</si>
  <si>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</si>
  <si>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</si>
  <si>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</si>
  <si>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</si>
  <si>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</si>
  <si>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</si>
  <si>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</si>
  <si>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</si>
  <si>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</si>
  <si>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</si>
  <si>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</si>
  <si>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</si>
  <si>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</si>
  <si>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</si>
  <si>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</si>
  <si>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</si>
  <si>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</si>
  <si>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</si>
  <si>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</si>
  <si>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</si>
  <si>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</si>
  <si>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</si>
  <si>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</si>
  <si>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</si>
  <si>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</si>
  <si>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</si>
  <si>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</si>
  <si>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</si>
  <si>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</si>
  <si>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</si>
  <si>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</si>
  <si>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</si>
  <si>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</si>
  <si>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</si>
  <si>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</si>
  <si>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</si>
  <si>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</si>
  <si>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</si>
  <si>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</si>
  <si>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</si>
  <si>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</si>
  <si>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</si>
  <si>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</si>
  <si>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</si>
  <si>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</si>
  <si>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</si>
  <si>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</si>
  <si>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</si>
  <si>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</si>
  <si>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</si>
  <si>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</si>
  <si>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</si>
  <si>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</si>
  <si>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</si>
  <si>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</si>
  <si>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</si>
  <si>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</si>
  <si>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</si>
  <si>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</si>
  <si>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</si>
  <si>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</si>
  <si>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</si>
  <si>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</si>
  <si>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</si>
  <si>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</si>
  <si>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</si>
  <si>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</si>
  <si>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</si>
  <si>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</si>
  <si>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</si>
  <si>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</si>
  <si>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</si>
  <si>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</si>
  <si>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</si>
  <si>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</si>
  <si>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</si>
  <si>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</si>
  <si>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</si>
  <si>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</si>
  <si>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</si>
  <si>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</si>
  <si>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</si>
  <si>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</si>
  <si>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</si>
  <si>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</si>
  <si>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</si>
  <si>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</si>
  <si>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</si>
  <si>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</si>
  <si>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</si>
  <si>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</si>
  <si>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</si>
  <si>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</si>
  <si>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</si>
  <si>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</si>
  <si>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</si>
  <si>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</si>
  <si>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</si>
  <si>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</si>
  <si>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</si>
  <si>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</si>
  <si>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</si>
  <si>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</si>
  <si>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</si>
  <si>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</si>
  <si>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</si>
  <si>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</si>
  <si>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</si>
  <si>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</si>
  <si>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</si>
  <si>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</si>
  <si>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</si>
  <si>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</si>
  <si>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</si>
  <si>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</si>
  <si>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</si>
  <si>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</si>
  <si>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</si>
  <si>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</si>
  <si>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</si>
  <si>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</si>
  <si>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</si>
  <si>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</si>
  <si>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</si>
  <si>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</si>
  <si>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</si>
  <si>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</si>
  <si>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</si>
  <si>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</si>
  <si>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</si>
  <si>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</si>
  <si>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</si>
  <si>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</si>
  <si>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</si>
  <si>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</si>
  <si>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</si>
  <si>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</si>
  <si>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</si>
  <si>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</si>
  <si>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</si>
  <si>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</si>
  <si>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</si>
  <si>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</si>
  <si>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</si>
  <si>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</si>
  <si>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</si>
  <si>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</si>
  <si>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</si>
  <si>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</si>
  <si>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</si>
  <si>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</si>
  <si>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</si>
  <si>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</si>
  <si>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</si>
  <si>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</si>
  <si>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</si>
  <si>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</si>
  <si>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</si>
  <si>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</si>
  <si>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</si>
  <si>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</si>
  <si>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</si>
  <si>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</si>
  <si>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</si>
  <si>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</si>
  <si>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</si>
  <si>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</si>
  <si>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</si>
  <si>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</si>
  <si>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</si>
  <si>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</si>
  <si>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</si>
  <si>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</si>
  <si>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</si>
  <si>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</si>
  <si>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</si>
  <si>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</si>
  <si>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</si>
  <si>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</si>
  <si>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</si>
  <si>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</si>
  <si>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</si>
  <si>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</si>
  <si>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</si>
  <si>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</si>
  <si>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</si>
  <si>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</si>
  <si>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</si>
  <si>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</si>
  <si>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</si>
  <si>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</si>
  <si>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</si>
  <si>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</si>
  <si>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</si>
  <si>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</si>
  <si>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</si>
  <si>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</si>
  <si>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</si>
  <si>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</si>
  <si>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</si>
  <si>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</si>
  <si>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</si>
  <si>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</si>
  <si>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</si>
  <si>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</si>
  <si>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</si>
  <si>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</si>
  <si>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</si>
  <si>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</si>
  <si>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</si>
  <si>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</si>
  <si>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</si>
  <si>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</si>
  <si>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</si>
  <si>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</si>
  <si>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</si>
  <si>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</si>
  <si>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</si>
  <si>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</si>
  <si>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</si>
  <si>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</si>
  <si>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</si>
  <si>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</si>
  <si>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</si>
  <si>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</si>
  <si>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</si>
  <si>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</si>
  <si>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</si>
  <si>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</si>
  <si>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</si>
  <si>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</si>
  <si>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</si>
  <si>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</si>
  <si>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</si>
  <si>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</si>
  <si>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</si>
  <si>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</si>
  <si>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</si>
  <si>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</si>
  <si>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</si>
  <si>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</si>
  <si>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</si>
  <si>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</si>
  <si>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</si>
  <si>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</si>
  <si>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</si>
  <si>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</si>
  <si>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</si>
  <si>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</si>
  <si>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</si>
  <si>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</si>
  <si>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</si>
  <si>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</si>
  <si>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</si>
  <si>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</si>
  <si>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</si>
  <si>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</si>
  <si>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</si>
  <si>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</si>
  <si>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</si>
  <si>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</si>
  <si>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</si>
  <si>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</si>
  <si>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</si>
  <si>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</si>
  <si>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</si>
  <si>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</si>
  <si>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</si>
  <si>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</si>
  <si>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</si>
  <si>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</si>
  <si>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</si>
  <si>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</si>
  <si>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</si>
  <si>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</si>
  <si>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</si>
  <si>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</si>
  <si>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</si>
  <si>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</si>
  <si>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</si>
  <si>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</si>
  <si>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</si>
  <si>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</si>
  <si>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</si>
  <si>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</si>
  <si>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</si>
  <si>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</si>
  <si>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</si>
  <si>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</si>
  <si>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</si>
  <si>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</si>
  <si>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</si>
  <si>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</si>
  <si>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</si>
  <si>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</si>
  <si>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</si>
  <si>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</si>
  <si>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</si>
  <si>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</si>
  <si>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</si>
  <si>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</si>
  <si>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</si>
  <si>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</si>
  <si>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</si>
  <si>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</si>
  <si>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</si>
  <si>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</si>
  <si>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</si>
  <si>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</si>
  <si>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</si>
  <si>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</si>
  <si>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</si>
  <si>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</si>
  <si>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</si>
  <si>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</si>
  <si>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</si>
  <si>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</si>
  <si>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</si>
  <si>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</si>
  <si>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</si>
  <si>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</si>
  <si>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</si>
  <si>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</si>
  <si>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</si>
  <si>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</si>
  <si>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</si>
  <si>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</si>
  <si>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</si>
  <si>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</si>
  <si>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</si>
  <si>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</si>
  <si>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</si>
  <si>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</si>
  <si>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</si>
  <si>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</si>
  <si>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</si>
  <si>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</si>
  <si>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</si>
  <si>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</si>
  <si>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</si>
  <si>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</si>
  <si>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</si>
  <si>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</si>
  <si>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</si>
  <si>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</si>
  <si>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</si>
  <si>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</si>
  <si>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</si>
  <si>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</si>
  <si>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</si>
  <si>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</si>
  <si>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</si>
  <si>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</si>
  <si>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</si>
  <si>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</si>
  <si>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</si>
  <si>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</si>
  <si>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</si>
  <si>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</si>
  <si>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</si>
  <si>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</si>
  <si>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</si>
  <si>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</si>
  <si>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</si>
  <si>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</si>
  <si>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</si>
  <si>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</si>
  <si>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</si>
  <si>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</si>
  <si>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</si>
  <si>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</si>
  <si>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</si>
  <si>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</si>
  <si>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</si>
  <si>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</si>
  <si>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</si>
  <si>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</si>
  <si>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</si>
  <si>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</si>
  <si>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</si>
  <si>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</si>
  <si>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</si>
  <si>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</si>
  <si>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</si>
  <si>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</si>
  <si>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</si>
  <si>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</si>
  <si>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</si>
  <si>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</si>
  <si>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</si>
  <si>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</si>
  <si>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</si>
  <si>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</si>
  <si>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</si>
  <si>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</si>
  <si>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</si>
  <si>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</si>
  <si>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</si>
  <si>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</si>
  <si>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</si>
  <si>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</si>
  <si>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</si>
  <si>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</si>
  <si>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</si>
  <si>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</si>
  <si>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</si>
  <si>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</si>
  <si>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</si>
  <si>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</si>
  <si>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</si>
  <si>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</si>
  <si>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</si>
  <si>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</si>
  <si>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</si>
  <si>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</si>
  <si>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</si>
  <si>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</si>
  <si>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</si>
  <si>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</si>
  <si>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</si>
  <si>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</si>
  <si>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</si>
  <si>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</si>
  <si>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</si>
  <si>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</si>
  <si>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</si>
  <si>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</si>
  <si>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</si>
  <si>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</si>
  <si>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</si>
  <si>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</si>
  <si>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</si>
  <si>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</si>
  <si>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</si>
  <si>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</si>
  <si>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</si>
  <si>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</si>
  <si>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</si>
  <si>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</si>
  <si>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</si>
  <si>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</si>
  <si>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</si>
  <si>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</si>
  <si>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</si>
  <si>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</si>
  <si>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</si>
  <si>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</si>
  <si>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</si>
  <si>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</si>
  <si>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</si>
  <si>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</si>
  <si>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</si>
  <si>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</si>
  <si>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</si>
  <si>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</si>
  <si>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</si>
  <si>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</si>
  <si>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</si>
  <si>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</si>
  <si>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</si>
  <si>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</si>
  <si>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</si>
  <si>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</si>
  <si>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</si>
  <si>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</si>
  <si>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</si>
  <si>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</si>
  <si>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</si>
  <si>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</si>
  <si>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</si>
  <si>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</si>
  <si>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</si>
  <si>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</si>
  <si>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</si>
  <si>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</si>
  <si>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</si>
  <si>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</si>
  <si>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</si>
  <si>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</si>
  <si>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</si>
  <si>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</si>
  <si>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</si>
  <si>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</si>
  <si>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</si>
  <si>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</si>
  <si>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</si>
  <si>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</si>
  <si>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</si>
  <si>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</si>
  <si>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</si>
  <si>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</si>
  <si>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</si>
  <si>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</si>
  <si>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</si>
  <si>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</si>
  <si>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</si>
  <si>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</si>
  <si>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</si>
  <si>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</si>
  <si>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</si>
  <si>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</si>
  <si>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</si>
  <si>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</si>
  <si>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</si>
  <si>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</si>
  <si>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</si>
  <si>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</si>
  <si>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</si>
  <si>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</si>
  <si>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</si>
  <si>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</si>
  <si>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</si>
  <si>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</si>
  <si>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</si>
  <si>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</si>
  <si>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</si>
  <si>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</si>
  <si>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</si>
  <si>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</si>
  <si>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</si>
  <si>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</si>
  <si>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</si>
  <si>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</si>
  <si>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</si>
  <si>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</si>
  <si>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</si>
  <si>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</si>
  <si>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</si>
  <si>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</si>
  <si>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</si>
  <si>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</si>
  <si>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</si>
  <si>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</si>
  <si>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</si>
  <si>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</si>
  <si>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</si>
  <si>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</si>
  <si>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</si>
  <si>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</si>
  <si>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</si>
  <si>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</si>
  <si>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</si>
  <si>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</si>
  <si>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</si>
  <si>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</si>
  <si>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</si>
  <si>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</si>
  <si>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</si>
  <si>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</si>
  <si>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</si>
  <si>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</si>
  <si>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</si>
  <si>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</si>
  <si>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</si>
  <si>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</si>
  <si>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</si>
  <si>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</si>
  <si>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</si>
  <si>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</si>
  <si>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</si>
  <si>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</si>
  <si>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</si>
  <si>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</si>
  <si>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</si>
  <si>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</si>
  <si>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</si>
  <si>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</si>
  <si>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</si>
  <si>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</si>
  <si>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</si>
  <si>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</si>
  <si>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</si>
  <si>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</si>
  <si>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</si>
  <si>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</si>
  <si>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</si>
  <si>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</si>
  <si>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</si>
  <si>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</si>
  <si>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</si>
  <si>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</si>
  <si>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</si>
  <si>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</si>
  <si>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</si>
  <si>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</si>
  <si>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</si>
  <si>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</si>
  <si>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</si>
  <si>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</si>
  <si>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</si>
  <si>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</si>
  <si>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</si>
  <si>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</si>
  <si>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</si>
  <si>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</si>
  <si>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</si>
  <si>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</si>
  <si>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</si>
  <si>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</si>
  <si>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</si>
  <si>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</si>
  <si>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</si>
  <si>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</si>
  <si>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</si>
  <si>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</si>
  <si>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</si>
  <si>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</si>
  <si>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</si>
  <si>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</si>
  <si>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</si>
  <si>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</si>
  <si>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</si>
  <si>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</si>
  <si>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</si>
  <si>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</si>
  <si>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</si>
  <si>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</si>
  <si>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</si>
  <si>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</si>
  <si>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</si>
  <si>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</si>
  <si>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</si>
  <si>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</si>
  <si>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</si>
  <si>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</si>
  <si>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</si>
  <si>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</si>
  <si>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</si>
  <si>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</si>
  <si>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</si>
  <si>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</si>
  <si>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</si>
  <si>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</si>
  <si>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</si>
  <si>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</si>
  <si>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</si>
  <si>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</si>
  <si>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</si>
  <si>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</si>
  <si>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</si>
  <si>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</si>
  <si>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</si>
  <si>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</si>
  <si>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</si>
  <si>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</si>
  <si>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</si>
  <si>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</si>
  <si>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</si>
  <si>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</si>
  <si>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</si>
  <si>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</si>
  <si>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</si>
  <si>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</si>
  <si>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</si>
  <si>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</si>
  <si>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</si>
  <si>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</si>
  <si>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</si>
  <si>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</si>
  <si>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</si>
  <si>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</si>
  <si>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</si>
  <si>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</si>
  <si>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</si>
  <si>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</si>
  <si>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</si>
  <si>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</si>
  <si>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</si>
  <si>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</si>
  <si>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</si>
  <si>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</si>
  <si>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</si>
  <si>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</si>
  <si>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</si>
  <si>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</si>
  <si>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</si>
  <si>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</si>
  <si>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</si>
  <si>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</si>
  <si>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</si>
  <si>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</si>
  <si>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</si>
  <si>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</si>
  <si>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</si>
  <si>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</si>
  <si>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(NPEPDI/NPPDI)*100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</si>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</sst>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Indicadores%20por%20CMI.xlsx" TargetMode="External"/><Relationship Id="rId1" Type="http://schemas.openxmlformats.org/officeDocument/2006/relationships/externalLinkPath" Target="Indicadores%20por%20C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4"/>
      <sheetName val="Worksheet"/>
      <sheetName val="Hoja2"/>
      <sheetName val="Hoja1"/>
      <sheetName val="Hoja3"/>
    </sheetNames>
    <sheetDataSet>
      <sheetData sheetId="0" refreshError="1"/>
      <sheetData sheetId="1">
        <row r="1">
          <cell r="A1" t="str">
            <v>Id</v>
          </cell>
        </row>
        <row r="2">
          <cell r="A2">
            <v>68</v>
          </cell>
        </row>
        <row r="3">
          <cell r="A3">
            <v>69</v>
          </cell>
        </row>
        <row r="4">
          <cell r="A4">
            <v>73</v>
          </cell>
        </row>
        <row r="5">
          <cell r="A5">
            <v>74</v>
          </cell>
        </row>
        <row r="6">
          <cell r="A6">
            <v>77</v>
          </cell>
        </row>
        <row r="7">
          <cell r="A7">
            <v>78</v>
          </cell>
        </row>
        <row r="8">
          <cell r="A8">
            <v>79</v>
          </cell>
        </row>
        <row r="9">
          <cell r="A9">
            <v>84</v>
          </cell>
        </row>
        <row r="10">
          <cell r="A10">
            <v>85</v>
          </cell>
        </row>
        <row r="11">
          <cell r="A11">
            <v>86</v>
          </cell>
        </row>
        <row r="12">
          <cell r="A12">
            <v>87</v>
          </cell>
        </row>
        <row r="13">
          <cell r="A13">
            <v>88</v>
          </cell>
        </row>
        <row r="14">
          <cell r="A14">
            <v>89</v>
          </cell>
        </row>
        <row r="15">
          <cell r="A15">
            <v>90</v>
          </cell>
        </row>
        <row r="16">
          <cell r="A16">
            <v>91</v>
          </cell>
        </row>
        <row r="17">
          <cell r="A17">
            <v>92</v>
          </cell>
        </row>
        <row r="18">
          <cell r="A18">
            <v>94</v>
          </cell>
        </row>
        <row r="19">
          <cell r="A19">
            <v>95</v>
          </cell>
        </row>
        <row r="20">
          <cell r="A20">
            <v>100</v>
          </cell>
        </row>
        <row r="21">
          <cell r="A21">
            <v>104</v>
          </cell>
        </row>
        <row r="22">
          <cell r="A22">
            <v>106</v>
          </cell>
        </row>
        <row r="23">
          <cell r="A23">
            <v>108</v>
          </cell>
        </row>
        <row r="24">
          <cell r="A24">
            <v>110</v>
          </cell>
        </row>
        <row r="25">
          <cell r="A25">
            <v>111</v>
          </cell>
        </row>
        <row r="26">
          <cell r="A26">
            <v>112</v>
          </cell>
        </row>
        <row r="27">
          <cell r="A27">
            <v>113</v>
          </cell>
        </row>
        <row r="28">
          <cell r="A28">
            <v>114</v>
          </cell>
        </row>
        <row r="29">
          <cell r="A29">
            <v>115</v>
          </cell>
        </row>
        <row r="30">
          <cell r="A30">
            <v>116</v>
          </cell>
        </row>
        <row r="31">
          <cell r="A31">
            <v>118</v>
          </cell>
        </row>
        <row r="32">
          <cell r="A32">
            <v>121</v>
          </cell>
        </row>
        <row r="33">
          <cell r="A33">
            <v>122</v>
          </cell>
        </row>
        <row r="34">
          <cell r="A34">
            <v>124</v>
          </cell>
        </row>
        <row r="35">
          <cell r="A35">
            <v>125</v>
          </cell>
        </row>
        <row r="36">
          <cell r="A36">
            <v>126</v>
          </cell>
        </row>
        <row r="37">
          <cell r="A37">
            <v>127</v>
          </cell>
        </row>
        <row r="38">
          <cell r="A38">
            <v>128</v>
          </cell>
        </row>
        <row r="39">
          <cell r="A39">
            <v>133</v>
          </cell>
        </row>
        <row r="40">
          <cell r="A40">
            <v>136</v>
          </cell>
        </row>
        <row r="41">
          <cell r="A41">
            <v>137</v>
          </cell>
        </row>
        <row r="42">
          <cell r="A42">
            <v>139</v>
          </cell>
        </row>
        <row r="43">
          <cell r="A43">
            <v>143</v>
          </cell>
        </row>
        <row r="44">
          <cell r="A44">
            <v>144</v>
          </cell>
        </row>
        <row r="45">
          <cell r="A45">
            <v>145</v>
          </cell>
        </row>
        <row r="46">
          <cell r="A46">
            <v>146</v>
          </cell>
        </row>
        <row r="47">
          <cell r="A47">
            <v>147</v>
          </cell>
        </row>
        <row r="48">
          <cell r="A48">
            <v>148</v>
          </cell>
        </row>
        <row r="49">
          <cell r="A49">
            <v>150</v>
          </cell>
        </row>
        <row r="50">
          <cell r="A50">
            <v>151</v>
          </cell>
        </row>
        <row r="51">
          <cell r="A51">
            <v>157</v>
          </cell>
        </row>
        <row r="52">
          <cell r="A52">
            <v>159</v>
          </cell>
        </row>
        <row r="53">
          <cell r="A53">
            <v>167</v>
          </cell>
        </row>
        <row r="54">
          <cell r="A54">
            <v>171</v>
          </cell>
        </row>
        <row r="55">
          <cell r="A55">
            <v>172</v>
          </cell>
        </row>
        <row r="56">
          <cell r="A56">
            <v>174</v>
          </cell>
        </row>
        <row r="57">
          <cell r="A57">
            <v>176</v>
          </cell>
        </row>
        <row r="58">
          <cell r="A58">
            <v>193</v>
          </cell>
        </row>
        <row r="59">
          <cell r="A59">
            <v>194</v>
          </cell>
        </row>
        <row r="60">
          <cell r="A60">
            <v>195</v>
          </cell>
        </row>
        <row r="61">
          <cell r="A61">
            <v>196</v>
          </cell>
        </row>
        <row r="62">
          <cell r="A62">
            <v>197</v>
          </cell>
        </row>
        <row r="63">
          <cell r="A63">
            <v>199</v>
          </cell>
        </row>
        <row r="64">
          <cell r="A64">
            <v>200</v>
          </cell>
        </row>
        <row r="65">
          <cell r="A65">
            <v>202</v>
          </cell>
        </row>
        <row r="66">
          <cell r="A66">
            <v>203</v>
          </cell>
        </row>
        <row r="67">
          <cell r="A67">
            <v>204</v>
          </cell>
        </row>
        <row r="68">
          <cell r="A68">
            <v>205</v>
          </cell>
        </row>
        <row r="69">
          <cell r="A69">
            <v>206</v>
          </cell>
        </row>
        <row r="70">
          <cell r="A70">
            <v>207</v>
          </cell>
        </row>
        <row r="71">
          <cell r="A71">
            <v>208</v>
          </cell>
        </row>
        <row r="72">
          <cell r="A72">
            <v>210</v>
          </cell>
        </row>
        <row r="73">
          <cell r="A73">
            <v>213</v>
          </cell>
        </row>
        <row r="74">
          <cell r="A74">
            <v>214</v>
          </cell>
        </row>
        <row r="75">
          <cell r="A75">
            <v>215</v>
          </cell>
        </row>
        <row r="76">
          <cell r="A76">
            <v>216</v>
          </cell>
        </row>
        <row r="77">
          <cell r="A77">
            <v>217</v>
          </cell>
        </row>
        <row r="78">
          <cell r="A78">
            <v>218</v>
          </cell>
        </row>
        <row r="79">
          <cell r="A79">
            <v>219</v>
          </cell>
        </row>
        <row r="80">
          <cell r="A80">
            <v>220</v>
          </cell>
        </row>
        <row r="81">
          <cell r="A81">
            <v>221</v>
          </cell>
        </row>
        <row r="82">
          <cell r="A82">
            <v>222</v>
          </cell>
        </row>
        <row r="83">
          <cell r="A83">
            <v>223</v>
          </cell>
        </row>
        <row r="84">
          <cell r="A84">
            <v>224</v>
          </cell>
        </row>
        <row r="85">
          <cell r="A85">
            <v>225</v>
          </cell>
        </row>
        <row r="86">
          <cell r="A86">
            <v>226</v>
          </cell>
        </row>
        <row r="87">
          <cell r="A87">
            <v>227</v>
          </cell>
        </row>
        <row r="88">
          <cell r="A88">
            <v>228</v>
          </cell>
        </row>
        <row r="89">
          <cell r="A89">
            <v>230</v>
          </cell>
        </row>
        <row r="90">
          <cell r="A90">
            <v>231</v>
          </cell>
        </row>
        <row r="91">
          <cell r="A91">
            <v>232</v>
          </cell>
        </row>
        <row r="92">
          <cell r="A92">
            <v>233</v>
          </cell>
        </row>
        <row r="93">
          <cell r="A93">
            <v>234</v>
          </cell>
        </row>
        <row r="94">
          <cell r="A94">
            <v>235</v>
          </cell>
        </row>
        <row r="95">
          <cell r="A95">
            <v>236</v>
          </cell>
        </row>
        <row r="96">
          <cell r="A96">
            <v>237</v>
          </cell>
        </row>
        <row r="97">
          <cell r="A97">
            <v>238</v>
          </cell>
        </row>
        <row r="98">
          <cell r="A98">
            <v>239</v>
          </cell>
        </row>
        <row r="99">
          <cell r="A99">
            <v>240</v>
          </cell>
        </row>
        <row r="100">
          <cell r="A100">
            <v>241</v>
          </cell>
        </row>
        <row r="101">
          <cell r="A101">
            <v>242</v>
          </cell>
        </row>
        <row r="102">
          <cell r="A102">
            <v>243</v>
          </cell>
        </row>
        <row r="103">
          <cell r="A103">
            <v>244</v>
          </cell>
        </row>
        <row r="104">
          <cell r="A104">
            <v>245</v>
          </cell>
        </row>
        <row r="105">
          <cell r="A105">
            <v>246</v>
          </cell>
        </row>
        <row r="106">
          <cell r="A106">
            <v>247</v>
          </cell>
        </row>
        <row r="107">
          <cell r="A107">
            <v>248</v>
          </cell>
        </row>
        <row r="108">
          <cell r="A108">
            <v>249</v>
          </cell>
        </row>
        <row r="109">
          <cell r="A109">
            <v>254</v>
          </cell>
        </row>
        <row r="110">
          <cell r="A110">
            <v>251</v>
          </cell>
        </row>
        <row r="111">
          <cell r="A111">
            <v>252</v>
          </cell>
        </row>
        <row r="112">
          <cell r="A112">
            <v>253</v>
          </cell>
        </row>
        <row r="113">
          <cell r="A113">
            <v>255</v>
          </cell>
        </row>
        <row r="114">
          <cell r="A114">
            <v>256</v>
          </cell>
        </row>
        <row r="115">
          <cell r="A115">
            <v>257</v>
          </cell>
        </row>
        <row r="116">
          <cell r="A116">
            <v>259</v>
          </cell>
        </row>
        <row r="117">
          <cell r="A117">
            <v>260</v>
          </cell>
        </row>
        <row r="118">
          <cell r="A118">
            <v>261</v>
          </cell>
        </row>
        <row r="119">
          <cell r="A119">
            <v>262</v>
          </cell>
        </row>
        <row r="120">
          <cell r="A120">
            <v>263</v>
          </cell>
        </row>
        <row r="121">
          <cell r="A121">
            <v>264</v>
          </cell>
        </row>
        <row r="122">
          <cell r="A122">
            <v>265</v>
          </cell>
        </row>
        <row r="123">
          <cell r="A123">
            <v>266</v>
          </cell>
        </row>
        <row r="124">
          <cell r="A124">
            <v>267</v>
          </cell>
        </row>
        <row r="125">
          <cell r="A125">
            <v>268</v>
          </cell>
        </row>
        <row r="126">
          <cell r="A126">
            <v>269</v>
          </cell>
        </row>
        <row r="127">
          <cell r="A127">
            <v>270</v>
          </cell>
        </row>
        <row r="128">
          <cell r="A128">
            <v>271</v>
          </cell>
        </row>
        <row r="129">
          <cell r="A129">
            <v>272</v>
          </cell>
        </row>
        <row r="130">
          <cell r="A130">
            <v>273</v>
          </cell>
        </row>
        <row r="131">
          <cell r="A131">
            <v>274</v>
          </cell>
        </row>
        <row r="132">
          <cell r="A132">
            <v>275</v>
          </cell>
        </row>
        <row r="133">
          <cell r="A133">
            <v>276</v>
          </cell>
        </row>
        <row r="134">
          <cell r="A134">
            <v>277</v>
          </cell>
        </row>
        <row r="135">
          <cell r="A135">
            <v>278</v>
          </cell>
        </row>
        <row r="136">
          <cell r="A136">
            <v>279</v>
          </cell>
        </row>
        <row r="137">
          <cell r="A137">
            <v>280</v>
          </cell>
        </row>
        <row r="138">
          <cell r="A138">
            <v>281</v>
          </cell>
        </row>
        <row r="139">
          <cell r="A139">
            <v>282</v>
          </cell>
        </row>
        <row r="140">
          <cell r="A140">
            <v>283</v>
          </cell>
        </row>
        <row r="141">
          <cell r="A141">
            <v>284</v>
          </cell>
        </row>
        <row r="142">
          <cell r="A142">
            <v>285</v>
          </cell>
        </row>
        <row r="143">
          <cell r="A143">
            <v>286</v>
          </cell>
        </row>
        <row r="144">
          <cell r="A144">
            <v>287</v>
          </cell>
        </row>
        <row r="145">
          <cell r="A145">
            <v>288</v>
          </cell>
        </row>
        <row r="146">
          <cell r="A146">
            <v>289</v>
          </cell>
        </row>
        <row r="147">
          <cell r="A147">
            <v>290</v>
          </cell>
        </row>
        <row r="148">
          <cell r="A148">
            <v>291</v>
          </cell>
        </row>
        <row r="149">
          <cell r="A149">
            <v>292</v>
          </cell>
        </row>
        <row r="150">
          <cell r="A150">
            <v>293</v>
          </cell>
        </row>
        <row r="151">
          <cell r="A151">
            <v>294</v>
          </cell>
        </row>
        <row r="152">
          <cell r="A152">
            <v>295</v>
          </cell>
        </row>
        <row r="153">
          <cell r="A153">
            <v>296</v>
          </cell>
        </row>
        <row r="154">
          <cell r="A154">
            <v>297</v>
          </cell>
        </row>
        <row r="155">
          <cell r="A155">
            <v>298</v>
          </cell>
        </row>
        <row r="156">
          <cell r="A156">
            <v>300</v>
          </cell>
        </row>
        <row r="157">
          <cell r="A157">
            <v>301</v>
          </cell>
        </row>
        <row r="158">
          <cell r="A158">
            <v>302</v>
          </cell>
        </row>
        <row r="159">
          <cell r="A159">
            <v>303</v>
          </cell>
        </row>
        <row r="160">
          <cell r="A160">
            <v>304</v>
          </cell>
        </row>
        <row r="161">
          <cell r="A161">
            <v>305</v>
          </cell>
        </row>
        <row r="162">
          <cell r="A162">
            <v>306</v>
          </cell>
        </row>
        <row r="163">
          <cell r="A163">
            <v>307</v>
          </cell>
        </row>
        <row r="164">
          <cell r="A164">
            <v>308</v>
          </cell>
        </row>
        <row r="165">
          <cell r="A165">
            <v>309</v>
          </cell>
        </row>
        <row r="166">
          <cell r="A166">
            <v>310</v>
          </cell>
        </row>
        <row r="167">
          <cell r="A167">
            <v>311</v>
          </cell>
        </row>
        <row r="168">
          <cell r="A168">
            <v>312</v>
          </cell>
        </row>
        <row r="169">
          <cell r="A169">
            <v>313</v>
          </cell>
        </row>
        <row r="170">
          <cell r="A170">
            <v>314</v>
          </cell>
        </row>
        <row r="171">
          <cell r="A171">
            <v>315</v>
          </cell>
        </row>
        <row r="172">
          <cell r="A172">
            <v>316</v>
          </cell>
        </row>
        <row r="173">
          <cell r="A173">
            <v>317</v>
          </cell>
        </row>
        <row r="174">
          <cell r="A174">
            <v>318</v>
          </cell>
        </row>
        <row r="175">
          <cell r="A175">
            <v>319</v>
          </cell>
        </row>
        <row r="176">
          <cell r="A176">
            <v>320</v>
          </cell>
        </row>
        <row r="177">
          <cell r="A177">
            <v>321</v>
          </cell>
        </row>
        <row r="178">
          <cell r="A178">
            <v>323</v>
          </cell>
        </row>
        <row r="179">
          <cell r="A179">
            <v>324</v>
          </cell>
        </row>
        <row r="180">
          <cell r="A180">
            <v>325</v>
          </cell>
        </row>
        <row r="181">
          <cell r="A181">
            <v>326</v>
          </cell>
        </row>
        <row r="182">
          <cell r="A182">
            <v>327</v>
          </cell>
        </row>
        <row r="183">
          <cell r="A183">
            <v>328</v>
          </cell>
        </row>
        <row r="184">
          <cell r="A184">
            <v>329</v>
          </cell>
        </row>
        <row r="185">
          <cell r="A185">
            <v>331</v>
          </cell>
        </row>
        <row r="186">
          <cell r="A186">
            <v>332</v>
          </cell>
        </row>
        <row r="187">
          <cell r="A187">
            <v>334</v>
          </cell>
        </row>
        <row r="188">
          <cell r="A188">
            <v>335</v>
          </cell>
        </row>
        <row r="189">
          <cell r="A189">
            <v>336</v>
          </cell>
        </row>
        <row r="190">
          <cell r="A190">
            <v>337</v>
          </cell>
        </row>
        <row r="191">
          <cell r="A191">
            <v>338</v>
          </cell>
        </row>
        <row r="192">
          <cell r="A192">
            <v>339</v>
          </cell>
        </row>
        <row r="193">
          <cell r="A193">
            <v>340</v>
          </cell>
        </row>
        <row r="194">
          <cell r="A194">
            <v>341</v>
          </cell>
        </row>
        <row r="195">
          <cell r="A195">
            <v>344</v>
          </cell>
        </row>
        <row r="196">
          <cell r="A196">
            <v>345</v>
          </cell>
        </row>
        <row r="197">
          <cell r="A197">
            <v>346</v>
          </cell>
        </row>
        <row r="198">
          <cell r="A198">
            <v>347</v>
          </cell>
        </row>
        <row r="199">
          <cell r="A199">
            <v>348</v>
          </cell>
        </row>
        <row r="200">
          <cell r="A200">
            <v>349</v>
          </cell>
        </row>
        <row r="201">
          <cell r="A201">
            <v>350</v>
          </cell>
        </row>
        <row r="202">
          <cell r="A202">
            <v>351</v>
          </cell>
        </row>
        <row r="203">
          <cell r="A203">
            <v>352</v>
          </cell>
        </row>
        <row r="204">
          <cell r="A204">
            <v>353</v>
          </cell>
        </row>
        <row r="205">
          <cell r="A205">
            <v>354</v>
          </cell>
        </row>
        <row r="206">
          <cell r="A206">
            <v>355</v>
          </cell>
        </row>
        <row r="207">
          <cell r="A207">
            <v>356</v>
          </cell>
        </row>
        <row r="208">
          <cell r="A208">
            <v>357</v>
          </cell>
        </row>
        <row r="209">
          <cell r="A209">
            <v>358</v>
          </cell>
        </row>
        <row r="210">
          <cell r="A210">
            <v>359</v>
          </cell>
        </row>
        <row r="211">
          <cell r="A211">
            <v>360</v>
          </cell>
        </row>
        <row r="212">
          <cell r="A212">
            <v>361</v>
          </cell>
        </row>
        <row r="213">
          <cell r="A213">
            <v>362</v>
          </cell>
        </row>
        <row r="214">
          <cell r="A214">
            <v>363</v>
          </cell>
        </row>
        <row r="215">
          <cell r="A215">
            <v>364</v>
          </cell>
        </row>
        <row r="216">
          <cell r="A216">
            <v>365</v>
          </cell>
        </row>
        <row r="217">
          <cell r="A217">
            <v>366</v>
          </cell>
        </row>
        <row r="218">
          <cell r="A218">
            <v>367</v>
          </cell>
        </row>
        <row r="219">
          <cell r="A219">
            <v>368</v>
          </cell>
        </row>
        <row r="220">
          <cell r="A220">
            <v>369</v>
          </cell>
        </row>
        <row r="221">
          <cell r="A221">
            <v>370</v>
          </cell>
        </row>
        <row r="222">
          <cell r="A222">
            <v>371</v>
          </cell>
        </row>
        <row r="223">
          <cell r="A223">
            <v>372</v>
          </cell>
        </row>
        <row r="224">
          <cell r="A224">
            <v>373</v>
          </cell>
        </row>
        <row r="225">
          <cell r="A225">
            <v>374</v>
          </cell>
        </row>
        <row r="226">
          <cell r="A226">
            <v>375</v>
          </cell>
        </row>
        <row r="227">
          <cell r="A227">
            <v>376</v>
          </cell>
        </row>
        <row r="228">
          <cell r="A228">
            <v>377</v>
          </cell>
        </row>
        <row r="229">
          <cell r="A229">
            <v>378</v>
          </cell>
        </row>
        <row r="230">
          <cell r="A230">
            <v>379</v>
          </cell>
        </row>
        <row r="231">
          <cell r="A231">
            <v>380</v>
          </cell>
        </row>
        <row r="232">
          <cell r="A232">
            <v>381</v>
          </cell>
        </row>
        <row r="233">
          <cell r="A233">
            <v>382</v>
          </cell>
        </row>
        <row r="234">
          <cell r="A234">
            <v>383</v>
          </cell>
        </row>
        <row r="235">
          <cell r="A235">
            <v>384</v>
          </cell>
        </row>
        <row r="236">
          <cell r="A236">
            <v>385</v>
          </cell>
        </row>
        <row r="237">
          <cell r="A237">
            <v>386</v>
          </cell>
        </row>
        <row r="238">
          <cell r="A238">
            <v>387</v>
          </cell>
        </row>
        <row r="239">
          <cell r="A239">
            <v>388</v>
          </cell>
        </row>
        <row r="240">
          <cell r="A240">
            <v>389</v>
          </cell>
        </row>
        <row r="241">
          <cell r="A241">
            <v>390</v>
          </cell>
        </row>
        <row r="242">
          <cell r="A242">
            <v>391</v>
          </cell>
        </row>
        <row r="243">
          <cell r="A243">
            <v>392</v>
          </cell>
        </row>
        <row r="244">
          <cell r="A244">
            <v>393</v>
          </cell>
        </row>
        <row r="245">
          <cell r="A245">
            <v>394</v>
          </cell>
        </row>
        <row r="246">
          <cell r="A246">
            <v>395</v>
          </cell>
        </row>
        <row r="247">
          <cell r="A247">
            <v>396</v>
          </cell>
        </row>
        <row r="248">
          <cell r="A248">
            <v>397</v>
          </cell>
        </row>
        <row r="249">
          <cell r="A249">
            <v>398</v>
          </cell>
        </row>
        <row r="250">
          <cell r="A250">
            <v>399</v>
          </cell>
        </row>
        <row r="251">
          <cell r="A251">
            <v>400</v>
          </cell>
        </row>
        <row r="252">
          <cell r="A252">
            <v>401</v>
          </cell>
        </row>
        <row r="253">
          <cell r="A253">
            <v>402</v>
          </cell>
        </row>
        <row r="254">
          <cell r="A254">
            <v>403</v>
          </cell>
        </row>
        <row r="255">
          <cell r="A255">
            <v>404</v>
          </cell>
        </row>
        <row r="256">
          <cell r="A256">
            <v>405</v>
          </cell>
        </row>
        <row r="257">
          <cell r="A257">
            <v>406</v>
          </cell>
        </row>
        <row r="258">
          <cell r="A258">
            <v>407</v>
          </cell>
        </row>
        <row r="259">
          <cell r="A259">
            <v>408</v>
          </cell>
        </row>
        <row r="260">
          <cell r="A260">
            <v>409</v>
          </cell>
        </row>
        <row r="261">
          <cell r="A261">
            <v>410</v>
          </cell>
        </row>
        <row r="262">
          <cell r="A262">
            <v>411</v>
          </cell>
        </row>
        <row r="263">
          <cell r="A263">
            <v>412</v>
          </cell>
        </row>
        <row r="264">
          <cell r="A264">
            <v>413</v>
          </cell>
        </row>
        <row r="265">
          <cell r="A265">
            <v>414</v>
          </cell>
        </row>
        <row r="266">
          <cell r="A266">
            <v>415</v>
          </cell>
        </row>
        <row r="267">
          <cell r="A267">
            <v>416</v>
          </cell>
        </row>
        <row r="268">
          <cell r="A268">
            <v>417</v>
          </cell>
        </row>
        <row r="269">
          <cell r="A269">
            <v>418</v>
          </cell>
        </row>
        <row r="270">
          <cell r="A270">
            <v>419</v>
          </cell>
        </row>
        <row r="271">
          <cell r="A271">
            <v>420</v>
          </cell>
        </row>
        <row r="272">
          <cell r="A272">
            <v>421</v>
          </cell>
        </row>
        <row r="273">
          <cell r="A273">
            <v>422</v>
          </cell>
        </row>
        <row r="274">
          <cell r="A274">
            <v>423</v>
          </cell>
        </row>
        <row r="275">
          <cell r="A275">
            <v>424</v>
          </cell>
        </row>
        <row r="276">
          <cell r="A276">
            <v>425</v>
          </cell>
        </row>
        <row r="277">
          <cell r="A277">
            <v>426</v>
          </cell>
        </row>
        <row r="278">
          <cell r="A278">
            <v>82</v>
          </cell>
        </row>
        <row r="279">
          <cell r="A279">
            <v>83</v>
          </cell>
        </row>
        <row r="280">
          <cell r="A280">
            <v>93</v>
          </cell>
        </row>
        <row r="281">
          <cell r="A281">
            <v>1</v>
          </cell>
        </row>
        <row r="282">
          <cell r="A282">
            <v>2</v>
          </cell>
        </row>
        <row r="283">
          <cell r="A283">
            <v>3</v>
          </cell>
        </row>
        <row r="284">
          <cell r="A284">
            <v>4</v>
          </cell>
        </row>
        <row r="285">
          <cell r="A285">
            <v>5</v>
          </cell>
        </row>
        <row r="286">
          <cell r="A286">
            <v>6</v>
          </cell>
        </row>
        <row r="287">
          <cell r="A287">
            <v>7</v>
          </cell>
        </row>
        <row r="288">
          <cell r="A288">
            <v>8</v>
          </cell>
        </row>
        <row r="289">
          <cell r="A289">
            <v>9</v>
          </cell>
        </row>
        <row r="290">
          <cell r="A290">
            <v>10</v>
          </cell>
        </row>
        <row r="291">
          <cell r="A291">
            <v>11</v>
          </cell>
        </row>
        <row r="292">
          <cell r="A292">
            <v>12</v>
          </cell>
        </row>
        <row r="293">
          <cell r="A293">
            <v>13</v>
          </cell>
        </row>
        <row r="294">
          <cell r="A294">
            <v>14</v>
          </cell>
        </row>
        <row r="295">
          <cell r="A295">
            <v>15</v>
          </cell>
        </row>
        <row r="296">
          <cell r="A296">
            <v>16</v>
          </cell>
        </row>
        <row r="297">
          <cell r="A297">
            <v>17</v>
          </cell>
        </row>
        <row r="298">
          <cell r="A298">
            <v>18</v>
          </cell>
        </row>
        <row r="299">
          <cell r="A299">
            <v>19</v>
          </cell>
        </row>
        <row r="300">
          <cell r="A300">
            <v>20</v>
          </cell>
        </row>
        <row r="301">
          <cell r="A301">
            <v>21</v>
          </cell>
        </row>
        <row r="302">
          <cell r="A302">
            <v>22</v>
          </cell>
        </row>
        <row r="303">
          <cell r="A303">
            <v>23</v>
          </cell>
        </row>
        <row r="304">
          <cell r="A304">
            <v>24</v>
          </cell>
        </row>
        <row r="305">
          <cell r="A305">
            <v>25</v>
          </cell>
        </row>
        <row r="306">
          <cell r="A306">
            <v>26</v>
          </cell>
        </row>
        <row r="307">
          <cell r="A307">
            <v>27</v>
          </cell>
        </row>
        <row r="308">
          <cell r="A308">
            <v>28</v>
          </cell>
        </row>
        <row r="309">
          <cell r="A309">
            <v>29</v>
          </cell>
        </row>
        <row r="310">
          <cell r="A310">
            <v>30</v>
          </cell>
        </row>
        <row r="311">
          <cell r="A311">
            <v>31</v>
          </cell>
        </row>
        <row r="312">
          <cell r="A312">
            <v>32</v>
          </cell>
        </row>
        <row r="313">
          <cell r="A313">
            <v>33</v>
          </cell>
        </row>
        <row r="314">
          <cell r="A314">
            <v>34</v>
          </cell>
        </row>
        <row r="315">
          <cell r="A315" t="str">
            <v>415.1</v>
          </cell>
        </row>
        <row r="316">
          <cell r="A316" t="str">
            <v>415.2</v>
          </cell>
        </row>
        <row r="317">
          <cell r="A317" t="str">
            <v>415.10</v>
          </cell>
        </row>
        <row r="318">
          <cell r="A318" t="str">
            <v>415.3</v>
          </cell>
        </row>
        <row r="319">
          <cell r="A319" t="str">
            <v>415.4</v>
          </cell>
        </row>
        <row r="320">
          <cell r="A320" t="str">
            <v>415.5</v>
          </cell>
        </row>
        <row r="321">
          <cell r="A321" t="str">
            <v>415.6</v>
          </cell>
        </row>
        <row r="322">
          <cell r="A322">
            <v>42</v>
          </cell>
        </row>
        <row r="323">
          <cell r="A323">
            <v>43</v>
          </cell>
        </row>
        <row r="324">
          <cell r="A324">
            <v>44</v>
          </cell>
        </row>
        <row r="325">
          <cell r="A325">
            <v>45</v>
          </cell>
        </row>
        <row r="326">
          <cell r="A326">
            <v>46</v>
          </cell>
        </row>
        <row r="327">
          <cell r="A327">
            <v>47</v>
          </cell>
        </row>
        <row r="328">
          <cell r="A328">
            <v>48</v>
          </cell>
        </row>
        <row r="329">
          <cell r="A329">
            <v>49</v>
          </cell>
        </row>
        <row r="330">
          <cell r="A330" t="str">
            <v>418.1</v>
          </cell>
        </row>
        <row r="331">
          <cell r="A331" t="str">
            <v>418.2</v>
          </cell>
        </row>
        <row r="332">
          <cell r="A332" t="str">
            <v>418.3</v>
          </cell>
        </row>
        <row r="333">
          <cell r="A333" t="str">
            <v>418.4</v>
          </cell>
        </row>
        <row r="334">
          <cell r="A334" t="str">
            <v>418.5</v>
          </cell>
        </row>
        <row r="335">
          <cell r="A335" t="str">
            <v>418.6</v>
          </cell>
        </row>
        <row r="336">
          <cell r="A336" t="str">
            <v>418.7</v>
          </cell>
        </row>
        <row r="337">
          <cell r="A337" t="str">
            <v>418.8</v>
          </cell>
        </row>
        <row r="338">
          <cell r="A338" t="str">
            <v>418.9</v>
          </cell>
        </row>
        <row r="339">
          <cell r="A339">
            <v>59</v>
          </cell>
        </row>
        <row r="340">
          <cell r="A340">
            <v>60</v>
          </cell>
        </row>
        <row r="341">
          <cell r="A341">
            <v>61</v>
          </cell>
        </row>
        <row r="342">
          <cell r="A342">
            <v>62</v>
          </cell>
        </row>
        <row r="343">
          <cell r="A343">
            <v>63</v>
          </cell>
        </row>
        <row r="344">
          <cell r="A344">
            <v>64</v>
          </cell>
        </row>
        <row r="345">
          <cell r="A345">
            <v>65</v>
          </cell>
        </row>
        <row r="346">
          <cell r="A346">
            <v>66</v>
          </cell>
        </row>
        <row r="347">
          <cell r="A347">
            <v>67</v>
          </cell>
        </row>
        <row r="348">
          <cell r="A348">
            <v>75</v>
          </cell>
        </row>
        <row r="349">
          <cell r="A349">
            <v>76</v>
          </cell>
        </row>
        <row r="350">
          <cell r="A350">
            <v>96</v>
          </cell>
        </row>
        <row r="351">
          <cell r="A351" t="str">
            <v>14.1</v>
          </cell>
        </row>
        <row r="352">
          <cell r="A352" t="str">
            <v>14.2</v>
          </cell>
        </row>
        <row r="353">
          <cell r="A353" t="str">
            <v>14.3</v>
          </cell>
        </row>
        <row r="354">
          <cell r="A354" t="str">
            <v>14.4</v>
          </cell>
        </row>
        <row r="355">
          <cell r="A355" t="str">
            <v>386.1</v>
          </cell>
        </row>
        <row r="356">
          <cell r="A356" t="str">
            <v>386.2</v>
          </cell>
        </row>
        <row r="357">
          <cell r="A357" t="str">
            <v>386.3</v>
          </cell>
        </row>
        <row r="358">
          <cell r="A358" t="str">
            <v>Med 1</v>
          </cell>
        </row>
        <row r="359">
          <cell r="A359" t="str">
            <v>Med 1.1</v>
          </cell>
        </row>
        <row r="360">
          <cell r="A360" t="str">
            <v>Med 1.2</v>
          </cell>
        </row>
        <row r="361">
          <cell r="A361" t="str">
            <v>Med 1.3</v>
          </cell>
        </row>
        <row r="362">
          <cell r="A362" t="str">
            <v>Med 1.4</v>
          </cell>
        </row>
        <row r="363">
          <cell r="A363" t="str">
            <v>Med 2</v>
          </cell>
        </row>
        <row r="364">
          <cell r="A364" t="str">
            <v>Med 3</v>
          </cell>
        </row>
        <row r="365">
          <cell r="A365" t="str">
            <v>Med 4</v>
          </cell>
        </row>
        <row r="366">
          <cell r="A366" t="str">
            <v>Med 2.1</v>
          </cell>
        </row>
        <row r="367">
          <cell r="A367" t="str">
            <v>Med 4.1</v>
          </cell>
        </row>
        <row r="368">
          <cell r="A368" t="str">
            <v>Med 2.2</v>
          </cell>
        </row>
        <row r="369">
          <cell r="A369" t="str">
            <v>Med 4.2</v>
          </cell>
        </row>
        <row r="370">
          <cell r="A370" t="str">
            <v>Med 5</v>
          </cell>
        </row>
        <row r="371">
          <cell r="A371" t="str">
            <v>Med 6</v>
          </cell>
        </row>
        <row r="372">
          <cell r="A372" t="str">
            <v>Med 7</v>
          </cell>
        </row>
        <row r="373">
          <cell r="A373" t="str">
            <v>Med 8</v>
          </cell>
        </row>
        <row r="374">
          <cell r="A374" t="str">
            <v>Med 9</v>
          </cell>
        </row>
        <row r="375">
          <cell r="A375" t="str">
            <v>Med 10</v>
          </cell>
        </row>
        <row r="376">
          <cell r="A376" t="str">
            <v>Med 11</v>
          </cell>
        </row>
        <row r="377">
          <cell r="A377" t="str">
            <v>Med 12</v>
          </cell>
        </row>
        <row r="378">
          <cell r="A378" t="str">
            <v>Med 13</v>
          </cell>
        </row>
        <row r="379">
          <cell r="A379" t="str">
            <v>Med 14</v>
          </cell>
        </row>
        <row r="380">
          <cell r="A380" t="str">
            <v>Med 15</v>
          </cell>
        </row>
        <row r="381">
          <cell r="A381" t="str">
            <v>Med 16</v>
          </cell>
        </row>
        <row r="382">
          <cell r="A382" t="str">
            <v>Med 17</v>
          </cell>
        </row>
        <row r="383">
          <cell r="A383" t="str">
            <v>10.1</v>
          </cell>
        </row>
        <row r="384">
          <cell r="A384" t="str">
            <v>13.1</v>
          </cell>
        </row>
        <row r="385">
          <cell r="A385">
            <v>97</v>
          </cell>
        </row>
        <row r="386">
          <cell r="A386">
            <v>98</v>
          </cell>
        </row>
        <row r="387">
          <cell r="A387">
            <v>427</v>
          </cell>
        </row>
        <row r="388">
          <cell r="A388">
            <v>428</v>
          </cell>
        </row>
        <row r="389">
          <cell r="A389">
            <v>429</v>
          </cell>
        </row>
        <row r="390">
          <cell r="A390">
            <v>430</v>
          </cell>
        </row>
        <row r="391">
          <cell r="A391">
            <v>431</v>
          </cell>
        </row>
        <row r="392">
          <cell r="A392">
            <v>432</v>
          </cell>
        </row>
        <row r="393">
          <cell r="A393">
            <v>433</v>
          </cell>
        </row>
        <row r="394">
          <cell r="A394">
            <v>434</v>
          </cell>
        </row>
        <row r="395">
          <cell r="A395">
            <v>435</v>
          </cell>
        </row>
        <row r="396">
          <cell r="A396">
            <v>436</v>
          </cell>
        </row>
        <row r="397">
          <cell r="A397" t="str">
            <v>108.1</v>
          </cell>
        </row>
        <row r="398">
          <cell r="A398" t="str">
            <v>108.3</v>
          </cell>
        </row>
        <row r="399">
          <cell r="A399">
            <v>117</v>
          </cell>
        </row>
        <row r="400">
          <cell r="A400">
            <v>109</v>
          </cell>
        </row>
        <row r="401">
          <cell r="A401" t="str">
            <v>108.5</v>
          </cell>
        </row>
        <row r="402">
          <cell r="A402" t="str">
            <v>108.6</v>
          </cell>
        </row>
        <row r="403">
          <cell r="A403" t="str">
            <v>108.7</v>
          </cell>
        </row>
        <row r="404">
          <cell r="A404" t="str">
            <v>108.8</v>
          </cell>
        </row>
        <row r="405">
          <cell r="A405">
            <v>437</v>
          </cell>
        </row>
        <row r="406">
          <cell r="A406" t="str">
            <v>108.9</v>
          </cell>
        </row>
        <row r="407">
          <cell r="A407" t="str">
            <v>108.10</v>
          </cell>
        </row>
        <row r="408">
          <cell r="A408" t="str">
            <v>108.11</v>
          </cell>
        </row>
        <row r="409">
          <cell r="A409" t="str">
            <v>108.15</v>
          </cell>
        </row>
        <row r="410">
          <cell r="A410" t="str">
            <v>108.12</v>
          </cell>
        </row>
        <row r="411">
          <cell r="A411" t="str">
            <v>108.13</v>
          </cell>
        </row>
        <row r="412">
          <cell r="A412" t="str">
            <v>108.14</v>
          </cell>
        </row>
        <row r="413">
          <cell r="A413">
            <v>438</v>
          </cell>
        </row>
        <row r="414">
          <cell r="A414">
            <v>439</v>
          </cell>
        </row>
        <row r="415">
          <cell r="A415">
            <v>440</v>
          </cell>
        </row>
        <row r="416">
          <cell r="A416">
            <v>999</v>
          </cell>
        </row>
        <row r="417">
          <cell r="A417">
            <v>998</v>
          </cell>
        </row>
        <row r="418">
          <cell r="A418">
            <v>441</v>
          </cell>
        </row>
        <row r="419">
          <cell r="A419">
            <v>442</v>
          </cell>
        </row>
        <row r="420">
          <cell r="A420">
            <v>443</v>
          </cell>
        </row>
        <row r="421">
          <cell r="A421">
            <v>444</v>
          </cell>
        </row>
        <row r="422">
          <cell r="A422">
            <v>445</v>
          </cell>
        </row>
        <row r="423">
          <cell r="A423">
            <v>446</v>
          </cell>
        </row>
        <row r="424">
          <cell r="A424">
            <v>447</v>
          </cell>
        </row>
        <row r="425">
          <cell r="A425">
            <v>448</v>
          </cell>
        </row>
        <row r="426">
          <cell r="A426">
            <v>449</v>
          </cell>
        </row>
        <row r="427">
          <cell r="A427">
            <v>450</v>
          </cell>
        </row>
        <row r="428">
          <cell r="A428">
            <v>451</v>
          </cell>
        </row>
        <row r="429">
          <cell r="A429">
            <v>452</v>
          </cell>
        </row>
        <row r="430">
          <cell r="A430">
            <v>453</v>
          </cell>
        </row>
        <row r="431">
          <cell r="A431">
            <v>454</v>
          </cell>
        </row>
        <row r="432">
          <cell r="A432">
            <v>455</v>
          </cell>
        </row>
        <row r="433">
          <cell r="A433">
            <v>456</v>
          </cell>
        </row>
        <row r="434">
          <cell r="A434">
            <v>457</v>
          </cell>
        </row>
        <row r="435">
          <cell r="A435">
            <v>458</v>
          </cell>
        </row>
        <row r="436">
          <cell r="A436">
            <v>459</v>
          </cell>
        </row>
        <row r="437">
          <cell r="A437">
            <v>460</v>
          </cell>
        </row>
        <row r="438">
          <cell r="A438">
            <v>462</v>
          </cell>
        </row>
        <row r="439">
          <cell r="A439">
            <v>463</v>
          </cell>
        </row>
        <row r="440">
          <cell r="A440">
            <v>464</v>
          </cell>
        </row>
        <row r="441">
          <cell r="A441">
            <v>465</v>
          </cell>
        </row>
        <row r="442">
          <cell r="A442">
            <v>466</v>
          </cell>
        </row>
        <row r="443">
          <cell r="A443">
            <v>467</v>
          </cell>
        </row>
        <row r="444">
          <cell r="A444">
            <v>468</v>
          </cell>
        </row>
        <row r="445">
          <cell r="A445">
            <v>469</v>
          </cell>
        </row>
        <row r="446">
          <cell r="A446">
            <v>470</v>
          </cell>
        </row>
        <row r="447">
          <cell r="A447">
            <v>471</v>
          </cell>
        </row>
        <row r="448">
          <cell r="A448">
            <v>472</v>
          </cell>
        </row>
        <row r="449">
          <cell r="A449">
            <v>900</v>
          </cell>
        </row>
        <row r="450">
          <cell r="A450">
            <v>901</v>
          </cell>
        </row>
        <row r="451">
          <cell r="A451">
            <v>902</v>
          </cell>
        </row>
        <row r="452">
          <cell r="A452">
            <v>903</v>
          </cell>
        </row>
        <row r="453">
          <cell r="A453">
            <v>904</v>
          </cell>
        </row>
        <row r="454">
          <cell r="A454">
            <v>905</v>
          </cell>
        </row>
        <row r="455">
          <cell r="A455">
            <v>906</v>
          </cell>
        </row>
        <row r="456">
          <cell r="A456">
            <v>907</v>
          </cell>
        </row>
        <row r="457">
          <cell r="A457">
            <v>908</v>
          </cell>
        </row>
        <row r="458">
          <cell r="A458">
            <v>473</v>
          </cell>
        </row>
        <row r="459">
          <cell r="A459" t="str">
            <v>Prov-1</v>
          </cell>
        </row>
        <row r="460">
          <cell r="A460" t="str">
            <v>Prov-2</v>
          </cell>
        </row>
        <row r="461">
          <cell r="A461" t="str">
            <v>Prov-3</v>
          </cell>
        </row>
        <row r="462">
          <cell r="A462" t="str">
            <v>Prov-4</v>
          </cell>
        </row>
        <row r="463">
          <cell r="A463" t="str">
            <v>Prov-5</v>
          </cell>
        </row>
        <row r="464">
          <cell r="A464" t="str">
            <v>11.1</v>
          </cell>
        </row>
        <row r="465">
          <cell r="A465" t="str">
            <v>Prov-7</v>
          </cell>
        </row>
        <row r="466">
          <cell r="A466" t="str">
            <v>Prov-8</v>
          </cell>
        </row>
        <row r="467">
          <cell r="A467" t="str">
            <v>Prov-9</v>
          </cell>
        </row>
        <row r="468">
          <cell r="A468" t="str">
            <v>Prov-10</v>
          </cell>
        </row>
        <row r="469">
          <cell r="A469" t="str">
            <v>Prov-11</v>
          </cell>
        </row>
        <row r="470">
          <cell r="A470" t="str">
            <v>Prov-12</v>
          </cell>
        </row>
        <row r="471">
          <cell r="A471" t="str">
            <v>Prov-13</v>
          </cell>
        </row>
        <row r="472">
          <cell r="A472" t="str">
            <v>Prov-14</v>
          </cell>
        </row>
        <row r="473">
          <cell r="A473" t="str">
            <v>Prov-15</v>
          </cell>
        </row>
        <row r="474">
          <cell r="A474" t="str">
            <v>Prov-16</v>
          </cell>
        </row>
        <row r="475">
          <cell r="A475" t="str">
            <v>420.1</v>
          </cell>
        </row>
        <row r="476">
          <cell r="A476" t="str">
            <v>420.2</v>
          </cell>
        </row>
        <row r="477">
          <cell r="A477" t="str">
            <v>420.3</v>
          </cell>
        </row>
        <row r="478">
          <cell r="A478" t="str">
            <v>420.4</v>
          </cell>
        </row>
        <row r="479">
          <cell r="A479" t="str">
            <v>420.5</v>
          </cell>
        </row>
        <row r="480">
          <cell r="A480" t="str">
            <v>415.7</v>
          </cell>
        </row>
        <row r="481">
          <cell r="A481" t="str">
            <v>415.8</v>
          </cell>
        </row>
        <row r="482">
          <cell r="A482" t="str">
            <v>415.9</v>
          </cell>
        </row>
        <row r="483">
          <cell r="A483" t="str">
            <v>415.14</v>
          </cell>
        </row>
        <row r="484">
          <cell r="A484" t="str">
            <v>415.11</v>
          </cell>
        </row>
        <row r="485">
          <cell r="A485" t="str">
            <v>415.12</v>
          </cell>
        </row>
        <row r="486">
          <cell r="A486" t="str">
            <v>415.13</v>
          </cell>
        </row>
        <row r="487">
          <cell r="A487">
            <v>484</v>
          </cell>
        </row>
        <row r="488">
          <cell r="A488">
            <v>476</v>
          </cell>
        </row>
        <row r="489">
          <cell r="A489">
            <v>474</v>
          </cell>
        </row>
        <row r="490">
          <cell r="A490">
            <v>525</v>
          </cell>
        </row>
        <row r="491">
          <cell r="A491" t="str">
            <v>525.1</v>
          </cell>
        </row>
        <row r="492">
          <cell r="A492" t="str">
            <v>525.2</v>
          </cell>
        </row>
        <row r="493">
          <cell r="A493" t="str">
            <v>525.3</v>
          </cell>
        </row>
        <row r="494">
          <cell r="A494">
            <v>909</v>
          </cell>
        </row>
        <row r="495">
          <cell r="A495">
            <v>910</v>
          </cell>
        </row>
        <row r="496">
          <cell r="A496">
            <v>911</v>
          </cell>
        </row>
        <row r="497">
          <cell r="A497">
            <v>912</v>
          </cell>
        </row>
        <row r="498">
          <cell r="A498">
            <v>913</v>
          </cell>
        </row>
        <row r="499">
          <cell r="A499">
            <v>914</v>
          </cell>
        </row>
        <row r="500">
          <cell r="A500">
            <v>915</v>
          </cell>
        </row>
        <row r="501">
          <cell r="A501">
            <v>916</v>
          </cell>
        </row>
        <row r="502">
          <cell r="A502">
            <v>917</v>
          </cell>
        </row>
        <row r="503">
          <cell r="A503">
            <v>918</v>
          </cell>
        </row>
        <row r="504">
          <cell r="A504">
            <v>919</v>
          </cell>
        </row>
        <row r="505">
          <cell r="A505">
            <v>920</v>
          </cell>
        </row>
        <row r="506">
          <cell r="A506">
            <v>921</v>
          </cell>
        </row>
        <row r="507">
          <cell r="A507">
            <v>922</v>
          </cell>
        </row>
        <row r="508">
          <cell r="A508">
            <v>923</v>
          </cell>
        </row>
        <row r="509">
          <cell r="A509">
            <v>924</v>
          </cell>
        </row>
        <row r="510">
          <cell r="A510">
            <v>925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F77A-E506-4471-8935-B3BC88D629C9}">
  <sheetPr filterMode="1"/>
  <dimension ref="A1:Y786"/>
  <sheetViews>
    <sheetView tabSelected="1" showRuler="0" zoomScaleNormal="100" workbookViewId="0">
      <selection activeCell="D116" sqref="D116"/>
    </sheetView>
  </sheetViews>
  <sheetFormatPr baseColWidth="10" defaultRowHeight="14.4" x14ac:dyDescent="0.3"/>
  <cols>
    <col min="1" max="25" width="9.109375" customWidth="1"/>
    <col min="26" max="254" width="8.88671875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idden="1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</row>
    <row r="3" spans="1:25" hidden="1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</row>
    <row r="4" spans="1:25" hidden="1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</row>
    <row r="5" spans="1:25" hidden="1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</row>
    <row r="6" spans="1:25" hidden="1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</row>
    <row r="7" spans="1:25" hidden="1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</row>
    <row r="8" spans="1:25" hidden="1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</row>
    <row r="9" spans="1:25" hidden="1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</row>
    <row r="10" spans="1:25" hidden="1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</row>
    <row r="11" spans="1:25" hidden="1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</row>
    <row r="12" spans="1:25" hidden="1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</row>
    <row r="13" spans="1:25" hidden="1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</row>
    <row r="14" spans="1:25" hidden="1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</row>
    <row r="15" spans="1:25" hidden="1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</row>
    <row r="16" spans="1:25" hidden="1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</row>
    <row r="17" spans="1:25" hidden="1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</row>
    <row r="18" spans="1:25" hidden="1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</row>
    <row r="19" spans="1:25" hidden="1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</row>
    <row r="20" spans="1:25" hidden="1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</row>
    <row r="21" spans="1:25" hidden="1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</row>
    <row r="22" spans="1:25" hidden="1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</row>
    <row r="23" spans="1:25" hidden="1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</row>
    <row r="24" spans="1:25" hidden="1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</row>
    <row r="25" spans="1:25" hidden="1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</row>
    <row r="26" spans="1:25" hidden="1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</row>
    <row r="27" spans="1:25" hidden="1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</row>
    <row r="28" spans="1:25" hidden="1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</row>
    <row r="29" spans="1:25" hidden="1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</row>
    <row r="30" spans="1:25" hidden="1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</row>
    <row r="31" spans="1:25" hidden="1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</row>
    <row r="32" spans="1:25" hidden="1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hidden="1" x14ac:dyDescent="0.3">
      <c r="A33">
        <v>216</v>
      </c>
      <c r="B33" t="s">
        <v>208</v>
      </c>
      <c r="C33" t="s">
        <v>47</v>
      </c>
      <c r="D33" t="s">
        <v>93</v>
      </c>
      <c r="E33" t="s">
        <v>28</v>
      </c>
      <c r="F33" t="s">
        <v>53</v>
      </c>
      <c r="G33" t="s">
        <v>30</v>
      </c>
      <c r="H33" t="s">
        <v>153</v>
      </c>
      <c r="I33">
        <v>100</v>
      </c>
      <c r="J33" t="s">
        <v>209</v>
      </c>
      <c r="K33" t="s">
        <v>186</v>
      </c>
      <c r="L33" t="s">
        <v>172</v>
      </c>
      <c r="M33" t="s">
        <v>173</v>
      </c>
      <c r="N33" s="3">
        <v>100</v>
      </c>
      <c r="O33" s="3">
        <v>100</v>
      </c>
      <c r="P33" s="3">
        <v>100</v>
      </c>
      <c r="Q33" s="3">
        <v>100</v>
      </c>
      <c r="R33" s="3" t="s">
        <v>59</v>
      </c>
      <c r="S33" s="3" t="s">
        <v>59</v>
      </c>
      <c r="T33" s="3" t="s">
        <v>59</v>
      </c>
      <c r="U33" s="3" t="s">
        <v>59</v>
      </c>
      <c r="V33" s="3" t="s">
        <v>59</v>
      </c>
      <c r="W33" s="3" t="s">
        <v>59</v>
      </c>
      <c r="X33" s="3" t="s">
        <v>59</v>
      </c>
    </row>
    <row r="34" spans="1:24" hidden="1" x14ac:dyDescent="0.3">
      <c r="A34">
        <v>216</v>
      </c>
      <c r="B34" t="s">
        <v>208</v>
      </c>
      <c r="C34" t="s">
        <v>47</v>
      </c>
      <c r="D34" t="s">
        <v>93</v>
      </c>
      <c r="E34" t="s">
        <v>28</v>
      </c>
      <c r="F34" t="s">
        <v>53</v>
      </c>
      <c r="G34" t="s">
        <v>30</v>
      </c>
      <c r="H34" t="s">
        <v>153</v>
      </c>
      <c r="I34">
        <v>100</v>
      </c>
      <c r="J34" t="s">
        <v>209</v>
      </c>
      <c r="K34" t="s">
        <v>186</v>
      </c>
      <c r="L34" t="s">
        <v>174</v>
      </c>
      <c r="M34" t="s">
        <v>175</v>
      </c>
      <c r="N34" s="3">
        <v>100</v>
      </c>
      <c r="O34" s="3">
        <v>100</v>
      </c>
      <c r="P34" s="3">
        <v>100</v>
      </c>
      <c r="Q34" s="3">
        <v>100</v>
      </c>
      <c r="R34" s="3" t="s">
        <v>59</v>
      </c>
      <c r="S34" s="3" t="s">
        <v>59</v>
      </c>
      <c r="T34" s="3" t="s">
        <v>59</v>
      </c>
      <c r="U34" s="3" t="s">
        <v>59</v>
      </c>
      <c r="V34" s="3" t="s">
        <v>59</v>
      </c>
      <c r="W34" s="3" t="s">
        <v>59</v>
      </c>
      <c r="X34" s="3" t="s">
        <v>59</v>
      </c>
    </row>
    <row r="35" spans="1:24" hidden="1" x14ac:dyDescent="0.3">
      <c r="A35">
        <v>216</v>
      </c>
      <c r="B35" t="s">
        <v>208</v>
      </c>
      <c r="C35" t="s">
        <v>47</v>
      </c>
      <c r="D35" t="s">
        <v>93</v>
      </c>
      <c r="E35" t="s">
        <v>28</v>
      </c>
      <c r="F35" t="s">
        <v>53</v>
      </c>
      <c r="G35" t="s">
        <v>30</v>
      </c>
      <c r="H35" t="s">
        <v>153</v>
      </c>
      <c r="I35">
        <v>100</v>
      </c>
      <c r="J35" t="s">
        <v>209</v>
      </c>
      <c r="K35" t="s">
        <v>186</v>
      </c>
      <c r="L35" t="s">
        <v>176</v>
      </c>
      <c r="M35" t="s">
        <v>177</v>
      </c>
      <c r="N35" s="3" t="s">
        <v>59</v>
      </c>
      <c r="O35" s="3" t="s">
        <v>59</v>
      </c>
      <c r="P35" s="3" t="s">
        <v>59</v>
      </c>
      <c r="Q35" s="3" t="s">
        <v>59</v>
      </c>
      <c r="R35" s="3" t="s">
        <v>59</v>
      </c>
      <c r="S35" s="3" t="s">
        <v>59</v>
      </c>
      <c r="T35" s="3" t="s">
        <v>59</v>
      </c>
      <c r="U35" s="3" t="s">
        <v>59</v>
      </c>
      <c r="V35" s="3" t="s">
        <v>59</v>
      </c>
      <c r="W35" s="3" t="s">
        <v>59</v>
      </c>
      <c r="X35" s="3" t="s">
        <v>59</v>
      </c>
    </row>
    <row r="36" spans="1:24" hidden="1" x14ac:dyDescent="0.3">
      <c r="A36">
        <v>216</v>
      </c>
      <c r="B36" t="s">
        <v>208</v>
      </c>
      <c r="C36" t="s">
        <v>47</v>
      </c>
      <c r="D36" t="s">
        <v>93</v>
      </c>
      <c r="E36" t="s">
        <v>28</v>
      </c>
      <c r="F36" t="s">
        <v>53</v>
      </c>
      <c r="G36" t="s">
        <v>30</v>
      </c>
      <c r="H36" t="s">
        <v>153</v>
      </c>
      <c r="I36">
        <v>100</v>
      </c>
      <c r="J36" t="s">
        <v>209</v>
      </c>
      <c r="K36" t="s">
        <v>186</v>
      </c>
      <c r="L36" t="s">
        <v>178</v>
      </c>
      <c r="M36" t="s">
        <v>179</v>
      </c>
      <c r="N36" s="3">
        <v>100</v>
      </c>
      <c r="O36" s="3">
        <v>100</v>
      </c>
      <c r="P36" s="3">
        <v>100</v>
      </c>
      <c r="Q36" s="3">
        <v>100</v>
      </c>
      <c r="R36" s="3" t="s">
        <v>59</v>
      </c>
      <c r="S36" s="3" t="s">
        <v>59</v>
      </c>
      <c r="T36" s="3" t="s">
        <v>59</v>
      </c>
      <c r="U36" s="3" t="s">
        <v>59</v>
      </c>
      <c r="V36" s="3" t="s">
        <v>59</v>
      </c>
      <c r="W36" s="3" t="s">
        <v>59</v>
      </c>
      <c r="X36" s="3" t="s">
        <v>59</v>
      </c>
    </row>
    <row r="37" spans="1:24" hidden="1" x14ac:dyDescent="0.3">
      <c r="A37">
        <v>216</v>
      </c>
      <c r="B37" t="s">
        <v>208</v>
      </c>
      <c r="C37" t="s">
        <v>47</v>
      </c>
      <c r="D37" t="s">
        <v>93</v>
      </c>
      <c r="E37" t="s">
        <v>28</v>
      </c>
      <c r="F37" t="s">
        <v>53</v>
      </c>
      <c r="G37" t="s">
        <v>30</v>
      </c>
      <c r="H37" t="s">
        <v>153</v>
      </c>
      <c r="I37">
        <v>100</v>
      </c>
      <c r="J37" t="s">
        <v>209</v>
      </c>
      <c r="K37" t="s">
        <v>186</v>
      </c>
      <c r="L37" t="s">
        <v>180</v>
      </c>
      <c r="M37" t="s">
        <v>181</v>
      </c>
      <c r="N37" s="3">
        <v>100</v>
      </c>
      <c r="O37" s="3">
        <v>100</v>
      </c>
      <c r="P37" s="3">
        <v>100</v>
      </c>
      <c r="Q37" s="3" t="s">
        <v>59</v>
      </c>
      <c r="R37" s="3" t="s">
        <v>59</v>
      </c>
      <c r="S37" s="3" t="s">
        <v>59</v>
      </c>
      <c r="T37" s="3" t="s">
        <v>59</v>
      </c>
      <c r="U37" s="3" t="s">
        <v>59</v>
      </c>
      <c r="V37" s="3" t="s">
        <v>59</v>
      </c>
      <c r="W37" s="3" t="s">
        <v>59</v>
      </c>
      <c r="X37" s="3" t="s">
        <v>59</v>
      </c>
    </row>
    <row r="38" spans="1:24" hidden="1" x14ac:dyDescent="0.3">
      <c r="A38">
        <v>216</v>
      </c>
      <c r="B38" t="s">
        <v>208</v>
      </c>
      <c r="C38" t="s">
        <v>47</v>
      </c>
      <c r="D38" t="s">
        <v>93</v>
      </c>
      <c r="E38" t="s">
        <v>28</v>
      </c>
      <c r="F38" t="s">
        <v>53</v>
      </c>
      <c r="G38" t="s">
        <v>30</v>
      </c>
      <c r="H38" t="s">
        <v>153</v>
      </c>
      <c r="I38">
        <v>100</v>
      </c>
      <c r="J38" t="s">
        <v>209</v>
      </c>
      <c r="K38" t="s">
        <v>186</v>
      </c>
      <c r="L38" t="s">
        <v>182</v>
      </c>
      <c r="M38" t="s">
        <v>183</v>
      </c>
      <c r="N38" s="3" t="s">
        <v>59</v>
      </c>
      <c r="O38" s="3" t="s">
        <v>59</v>
      </c>
      <c r="P38" s="3" t="s">
        <v>59</v>
      </c>
      <c r="Q38" s="3" t="s">
        <v>59</v>
      </c>
      <c r="R38" s="3" t="s">
        <v>59</v>
      </c>
      <c r="S38" s="3" t="s">
        <v>59</v>
      </c>
      <c r="T38" s="3" t="s">
        <v>59</v>
      </c>
      <c r="U38" s="3" t="s">
        <v>59</v>
      </c>
      <c r="V38" s="3" t="s">
        <v>59</v>
      </c>
      <c r="W38" s="3" t="s">
        <v>59</v>
      </c>
      <c r="X38" s="3" t="s">
        <v>59</v>
      </c>
    </row>
    <row r="39" spans="1:24" hidden="1" x14ac:dyDescent="0.3">
      <c r="A39" s="1">
        <v>221</v>
      </c>
      <c r="B39" s="1" t="s">
        <v>219</v>
      </c>
      <c r="C39" s="1" t="s">
        <v>26</v>
      </c>
      <c r="D39" s="1" t="s">
        <v>93</v>
      </c>
      <c r="E39" s="1" t="s">
        <v>40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220</v>
      </c>
      <c r="K39" s="1" t="s">
        <v>186</v>
      </c>
      <c r="L39" s="1" t="s">
        <v>34</v>
      </c>
      <c r="M39" s="1" t="s">
        <v>34</v>
      </c>
      <c r="N39" s="7">
        <v>27.5</v>
      </c>
      <c r="O39" s="7">
        <v>33.33</v>
      </c>
      <c r="P39" s="4">
        <v>100</v>
      </c>
      <c r="Q39" s="7">
        <v>0</v>
      </c>
      <c r="R39" s="3">
        <v>0</v>
      </c>
      <c r="S39" s="3" t="s">
        <v>59</v>
      </c>
      <c r="T39" s="3"/>
      <c r="U39" s="3"/>
      <c r="V39" s="3"/>
      <c r="W39" s="3"/>
      <c r="X39" s="3"/>
    </row>
    <row r="40" spans="1:24" hidden="1" x14ac:dyDescent="0.3">
      <c r="A40">
        <v>221</v>
      </c>
      <c r="B40" t="s">
        <v>219</v>
      </c>
      <c r="C40" t="s">
        <v>26</v>
      </c>
      <c r="D40" t="s">
        <v>93</v>
      </c>
      <c r="E40" t="s">
        <v>40</v>
      </c>
      <c r="F40" t="s">
        <v>53</v>
      </c>
      <c r="G40" t="s">
        <v>30</v>
      </c>
      <c r="H40" t="s">
        <v>153</v>
      </c>
      <c r="I40">
        <v>100</v>
      </c>
      <c r="J40" t="s">
        <v>220</v>
      </c>
      <c r="K40" t="s">
        <v>186</v>
      </c>
      <c r="L40" t="s">
        <v>172</v>
      </c>
      <c r="M40" t="s">
        <v>173</v>
      </c>
      <c r="N40" s="3">
        <v>10</v>
      </c>
      <c r="O40" s="3">
        <v>25</v>
      </c>
      <c r="P40" s="3">
        <v>100</v>
      </c>
      <c r="Q40" s="3">
        <v>100</v>
      </c>
      <c r="R40" s="3" t="s">
        <v>59</v>
      </c>
      <c r="S40" s="3" t="s">
        <v>59</v>
      </c>
      <c r="T40" s="3" t="s">
        <v>59</v>
      </c>
      <c r="U40" s="3" t="s">
        <v>59</v>
      </c>
      <c r="V40" s="3" t="s">
        <v>59</v>
      </c>
      <c r="W40" s="3" t="s">
        <v>59</v>
      </c>
      <c r="X40" s="3" t="s">
        <v>59</v>
      </c>
    </row>
    <row r="41" spans="1:24" hidden="1" x14ac:dyDescent="0.3">
      <c r="A41">
        <v>221</v>
      </c>
      <c r="B41" t="s">
        <v>219</v>
      </c>
      <c r="C41" t="s">
        <v>26</v>
      </c>
      <c r="D41" t="s">
        <v>93</v>
      </c>
      <c r="E41" t="s">
        <v>40</v>
      </c>
      <c r="F41" t="s">
        <v>53</v>
      </c>
      <c r="G41" t="s">
        <v>30</v>
      </c>
      <c r="H41" t="s">
        <v>153</v>
      </c>
      <c r="I41">
        <v>100</v>
      </c>
      <c r="J41" t="s">
        <v>220</v>
      </c>
      <c r="K41" t="s">
        <v>186</v>
      </c>
      <c r="L41" t="s">
        <v>174</v>
      </c>
      <c r="M41" t="s">
        <v>175</v>
      </c>
      <c r="N41" s="3">
        <v>0</v>
      </c>
      <c r="O41" s="3">
        <v>0</v>
      </c>
      <c r="P41" s="3">
        <v>100</v>
      </c>
      <c r="Q41" s="3">
        <v>100</v>
      </c>
      <c r="R41" s="3" t="s">
        <v>59</v>
      </c>
      <c r="S41" s="3" t="s">
        <v>59</v>
      </c>
      <c r="T41" s="3" t="s">
        <v>59</v>
      </c>
      <c r="U41" s="3" t="s">
        <v>59</v>
      </c>
      <c r="V41" s="3" t="s">
        <v>59</v>
      </c>
      <c r="W41" s="3" t="s">
        <v>59</v>
      </c>
      <c r="X41" s="3" t="s">
        <v>59</v>
      </c>
    </row>
    <row r="42" spans="1:24" hidden="1" x14ac:dyDescent="0.3">
      <c r="A42">
        <v>221</v>
      </c>
      <c r="B42" t="s">
        <v>219</v>
      </c>
      <c r="C42" t="s">
        <v>26</v>
      </c>
      <c r="D42" t="s">
        <v>93</v>
      </c>
      <c r="E42" t="s">
        <v>40</v>
      </c>
      <c r="F42" t="s">
        <v>53</v>
      </c>
      <c r="G42" t="s">
        <v>30</v>
      </c>
      <c r="H42" t="s">
        <v>153</v>
      </c>
      <c r="I42">
        <v>100</v>
      </c>
      <c r="J42" t="s">
        <v>220</v>
      </c>
      <c r="K42" t="s">
        <v>186</v>
      </c>
      <c r="L42" t="s">
        <v>176</v>
      </c>
      <c r="M42" t="s">
        <v>177</v>
      </c>
      <c r="N42" s="3">
        <v>0</v>
      </c>
      <c r="O42" s="3" t="s">
        <v>59</v>
      </c>
      <c r="P42" s="3" t="s">
        <v>59</v>
      </c>
      <c r="Q42" s="3" t="s">
        <v>59</v>
      </c>
      <c r="R42" s="3" t="s">
        <v>59</v>
      </c>
      <c r="S42" s="3" t="s">
        <v>59</v>
      </c>
      <c r="T42" s="3" t="s">
        <v>59</v>
      </c>
      <c r="U42" s="3" t="s">
        <v>59</v>
      </c>
      <c r="V42" s="3" t="s">
        <v>59</v>
      </c>
      <c r="W42" s="3" t="s">
        <v>59</v>
      </c>
      <c r="X42" s="3" t="s">
        <v>59</v>
      </c>
    </row>
    <row r="43" spans="1:24" hidden="1" x14ac:dyDescent="0.3">
      <c r="A43">
        <v>221</v>
      </c>
      <c r="B43" t="s">
        <v>219</v>
      </c>
      <c r="C43" t="s">
        <v>26</v>
      </c>
      <c r="D43" t="s">
        <v>93</v>
      </c>
      <c r="E43" t="s">
        <v>40</v>
      </c>
      <c r="F43" t="s">
        <v>53</v>
      </c>
      <c r="G43" t="s">
        <v>30</v>
      </c>
      <c r="H43" t="s">
        <v>153</v>
      </c>
      <c r="I43">
        <v>100</v>
      </c>
      <c r="J43" t="s">
        <v>220</v>
      </c>
      <c r="K43" t="s">
        <v>186</v>
      </c>
      <c r="L43" t="s">
        <v>178</v>
      </c>
      <c r="M43" t="s">
        <v>179</v>
      </c>
      <c r="N43" s="3">
        <v>100</v>
      </c>
      <c r="O43" s="3">
        <v>100</v>
      </c>
      <c r="P43" s="3">
        <v>100</v>
      </c>
      <c r="Q43" s="3" t="s">
        <v>59</v>
      </c>
      <c r="R43" s="3" t="s">
        <v>59</v>
      </c>
      <c r="S43" s="3" t="s">
        <v>59</v>
      </c>
      <c r="T43" s="3" t="s">
        <v>59</v>
      </c>
      <c r="U43" s="3" t="s">
        <v>59</v>
      </c>
      <c r="V43" s="3" t="s">
        <v>59</v>
      </c>
      <c r="W43" s="3" t="s">
        <v>59</v>
      </c>
      <c r="X43" s="3" t="s">
        <v>59</v>
      </c>
    </row>
    <row r="44" spans="1:24" hidden="1" x14ac:dyDescent="0.3">
      <c r="A44">
        <v>221</v>
      </c>
      <c r="B44" t="s">
        <v>219</v>
      </c>
      <c r="C44" t="s">
        <v>26</v>
      </c>
      <c r="D44" t="s">
        <v>93</v>
      </c>
      <c r="E44" t="s">
        <v>40</v>
      </c>
      <c r="F44" t="s">
        <v>53</v>
      </c>
      <c r="G44" t="s">
        <v>30</v>
      </c>
      <c r="H44" t="s">
        <v>153</v>
      </c>
      <c r="I44">
        <v>100</v>
      </c>
      <c r="J44" t="s">
        <v>220</v>
      </c>
      <c r="K44" t="s">
        <v>186</v>
      </c>
      <c r="L44" t="s">
        <v>180</v>
      </c>
      <c r="M44" t="s">
        <v>181</v>
      </c>
      <c r="N44" s="3" t="s">
        <v>59</v>
      </c>
      <c r="O44" s="3" t="s">
        <v>59</v>
      </c>
      <c r="P44" s="3" t="s">
        <v>59</v>
      </c>
      <c r="Q44" s="3" t="s">
        <v>59</v>
      </c>
      <c r="R44" s="3" t="s">
        <v>59</v>
      </c>
      <c r="S44" s="3" t="s">
        <v>59</v>
      </c>
      <c r="T44" s="3" t="s">
        <v>59</v>
      </c>
      <c r="U44" s="3" t="s">
        <v>59</v>
      </c>
      <c r="V44" s="3" t="s">
        <v>59</v>
      </c>
      <c r="W44" s="3" t="s">
        <v>59</v>
      </c>
      <c r="X44" s="3" t="s">
        <v>59</v>
      </c>
    </row>
    <row r="45" spans="1:24" hidden="1" x14ac:dyDescent="0.3">
      <c r="A45">
        <v>221</v>
      </c>
      <c r="B45" t="s">
        <v>219</v>
      </c>
      <c r="C45" t="s">
        <v>26</v>
      </c>
      <c r="D45" t="s">
        <v>93</v>
      </c>
      <c r="E45" t="s">
        <v>40</v>
      </c>
      <c r="F45" t="s">
        <v>53</v>
      </c>
      <c r="G45" t="s">
        <v>30</v>
      </c>
      <c r="H45" t="s">
        <v>153</v>
      </c>
      <c r="I45">
        <v>100</v>
      </c>
      <c r="J45" t="s">
        <v>220</v>
      </c>
      <c r="K45" t="s">
        <v>186</v>
      </c>
      <c r="L45" t="s">
        <v>182</v>
      </c>
      <c r="M45" t="s">
        <v>183</v>
      </c>
      <c r="N45" s="3" t="s">
        <v>59</v>
      </c>
      <c r="O45" s="3" t="s">
        <v>59</v>
      </c>
      <c r="P45" s="3" t="s">
        <v>59</v>
      </c>
      <c r="Q45" s="3" t="s">
        <v>59</v>
      </c>
      <c r="R45" s="3" t="s">
        <v>59</v>
      </c>
      <c r="S45" s="3" t="s">
        <v>59</v>
      </c>
      <c r="T45" s="3" t="s">
        <v>59</v>
      </c>
      <c r="U45" s="3" t="s">
        <v>59</v>
      </c>
      <c r="V45" s="3" t="s">
        <v>59</v>
      </c>
      <c r="W45" s="3" t="s">
        <v>59</v>
      </c>
      <c r="X45" s="3" t="s">
        <v>59</v>
      </c>
    </row>
    <row r="46" spans="1:24" hidden="1" x14ac:dyDescent="0.3">
      <c r="A46" s="1">
        <v>222</v>
      </c>
      <c r="B46" s="1" t="s">
        <v>221</v>
      </c>
      <c r="C46" s="1" t="s">
        <v>26</v>
      </c>
      <c r="D46" s="1" t="s">
        <v>93</v>
      </c>
      <c r="E46" s="1" t="s">
        <v>40</v>
      </c>
      <c r="F46" s="1" t="s">
        <v>53</v>
      </c>
      <c r="G46" s="1" t="s">
        <v>30</v>
      </c>
      <c r="H46" s="1" t="s">
        <v>153</v>
      </c>
      <c r="I46" s="1">
        <v>90</v>
      </c>
      <c r="J46" s="1" t="s">
        <v>222</v>
      </c>
      <c r="K46" s="1" t="s">
        <v>223</v>
      </c>
      <c r="L46" s="1" t="s">
        <v>34</v>
      </c>
      <c r="M46" s="1" t="s">
        <v>34</v>
      </c>
      <c r="N46" s="7">
        <v>68.75</v>
      </c>
      <c r="O46" s="7">
        <v>68.75</v>
      </c>
      <c r="P46" s="7">
        <v>68.75</v>
      </c>
      <c r="Q46" s="4">
        <v>93.75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hidden="1" x14ac:dyDescent="0.3">
      <c r="A47">
        <v>222</v>
      </c>
      <c r="B47" t="s">
        <v>221</v>
      </c>
      <c r="C47" t="s">
        <v>26</v>
      </c>
      <c r="D47" t="s">
        <v>93</v>
      </c>
      <c r="E47" t="s">
        <v>40</v>
      </c>
      <c r="F47" t="s">
        <v>53</v>
      </c>
      <c r="G47" t="s">
        <v>30</v>
      </c>
      <c r="H47" t="s">
        <v>153</v>
      </c>
      <c r="I47">
        <v>90</v>
      </c>
      <c r="J47" t="s">
        <v>222</v>
      </c>
      <c r="K47" t="s">
        <v>223</v>
      </c>
      <c r="L47" t="s">
        <v>172</v>
      </c>
      <c r="M47" t="s">
        <v>173</v>
      </c>
      <c r="N47" s="3">
        <v>68.75</v>
      </c>
      <c r="O47" s="3">
        <v>68.75</v>
      </c>
      <c r="P47" s="3">
        <v>68.75</v>
      </c>
      <c r="Q47" s="3">
        <v>93.75</v>
      </c>
      <c r="R47" s="3" t="s">
        <v>59</v>
      </c>
      <c r="S47" s="3" t="s">
        <v>59</v>
      </c>
      <c r="T47" s="3" t="s">
        <v>59</v>
      </c>
      <c r="U47" s="3" t="s">
        <v>59</v>
      </c>
      <c r="V47" s="3" t="s">
        <v>59</v>
      </c>
      <c r="W47" s="3" t="s">
        <v>59</v>
      </c>
      <c r="X47" s="3" t="s">
        <v>59</v>
      </c>
    </row>
    <row r="48" spans="1:24" hidden="1" x14ac:dyDescent="0.3">
      <c r="A48" s="1">
        <v>223</v>
      </c>
      <c r="B48" s="1" t="s">
        <v>224</v>
      </c>
      <c r="C48" s="1" t="s">
        <v>26</v>
      </c>
      <c r="D48" s="1" t="s">
        <v>93</v>
      </c>
      <c r="E48" s="1" t="s">
        <v>28</v>
      </c>
      <c r="F48" s="1" t="s">
        <v>53</v>
      </c>
      <c r="G48" s="1" t="s">
        <v>30</v>
      </c>
      <c r="H48" s="1" t="s">
        <v>153</v>
      </c>
      <c r="I48" s="1">
        <v>100</v>
      </c>
      <c r="J48" s="1" t="s">
        <v>225</v>
      </c>
      <c r="K48" s="1" t="s">
        <v>155</v>
      </c>
      <c r="L48" s="1" t="s">
        <v>34</v>
      </c>
      <c r="M48" s="1" t="s">
        <v>34</v>
      </c>
      <c r="N48" s="3"/>
      <c r="O48" s="6">
        <v>94.12</v>
      </c>
      <c r="P48" s="4">
        <v>100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</row>
    <row r="49" spans="1:24" hidden="1" x14ac:dyDescent="0.3">
      <c r="A49">
        <v>223</v>
      </c>
      <c r="B49" t="s">
        <v>224</v>
      </c>
      <c r="C49" t="s">
        <v>26</v>
      </c>
      <c r="D49" t="s">
        <v>93</v>
      </c>
      <c r="E49" t="s">
        <v>28</v>
      </c>
      <c r="F49" t="s">
        <v>53</v>
      </c>
      <c r="G49" t="s">
        <v>30</v>
      </c>
      <c r="H49" t="s">
        <v>153</v>
      </c>
      <c r="I49">
        <v>100</v>
      </c>
      <c r="J49" t="s">
        <v>225</v>
      </c>
      <c r="K49" t="s">
        <v>155</v>
      </c>
      <c r="L49" t="s">
        <v>226</v>
      </c>
      <c r="M49" t="s">
        <v>227</v>
      </c>
      <c r="N49" s="3" t="s">
        <v>59</v>
      </c>
      <c r="O49" s="3">
        <v>92.86</v>
      </c>
      <c r="P49" s="3">
        <v>100</v>
      </c>
      <c r="Q49" s="3" t="s">
        <v>59</v>
      </c>
      <c r="R49" s="3" t="s">
        <v>59</v>
      </c>
      <c r="S49" s="3" t="s">
        <v>59</v>
      </c>
      <c r="T49" s="3" t="s">
        <v>59</v>
      </c>
      <c r="U49" s="3" t="s">
        <v>59</v>
      </c>
      <c r="V49" s="3" t="s">
        <v>59</v>
      </c>
      <c r="W49" s="3" t="s">
        <v>59</v>
      </c>
      <c r="X49" s="3" t="s">
        <v>59</v>
      </c>
    </row>
    <row r="50" spans="1:24" hidden="1" x14ac:dyDescent="0.3">
      <c r="A50">
        <v>223</v>
      </c>
      <c r="B50" t="s">
        <v>224</v>
      </c>
      <c r="C50" t="s">
        <v>26</v>
      </c>
      <c r="D50" t="s">
        <v>93</v>
      </c>
      <c r="E50" t="s">
        <v>28</v>
      </c>
      <c r="F50" t="s">
        <v>53</v>
      </c>
      <c r="G50" t="s">
        <v>30</v>
      </c>
      <c r="H50" t="s">
        <v>153</v>
      </c>
      <c r="I50">
        <v>100</v>
      </c>
      <c r="J50" t="s">
        <v>225</v>
      </c>
      <c r="K50" t="s">
        <v>155</v>
      </c>
      <c r="L50" t="s">
        <v>228</v>
      </c>
      <c r="M50" t="s">
        <v>229</v>
      </c>
      <c r="N50" s="3" t="s">
        <v>59</v>
      </c>
      <c r="O50" s="3">
        <v>100</v>
      </c>
      <c r="P50" s="3">
        <v>100</v>
      </c>
      <c r="Q50" s="3" t="s">
        <v>59</v>
      </c>
      <c r="R50" s="3" t="s">
        <v>59</v>
      </c>
      <c r="S50" s="3" t="s">
        <v>59</v>
      </c>
      <c r="T50" s="3" t="s">
        <v>59</v>
      </c>
      <c r="U50" s="3" t="s">
        <v>59</v>
      </c>
      <c r="V50" s="3" t="s">
        <v>59</v>
      </c>
      <c r="W50" s="3" t="s">
        <v>59</v>
      </c>
      <c r="X50" s="3" t="s">
        <v>59</v>
      </c>
    </row>
    <row r="51" spans="1:24" hidden="1" x14ac:dyDescent="0.3">
      <c r="A51" s="1">
        <v>224</v>
      </c>
      <c r="B51" s="1" t="s">
        <v>230</v>
      </c>
      <c r="C51" s="1" t="s">
        <v>26</v>
      </c>
      <c r="D51" s="1" t="s">
        <v>93</v>
      </c>
      <c r="E51" s="1" t="s">
        <v>40</v>
      </c>
      <c r="F51" s="1" t="s">
        <v>53</v>
      </c>
      <c r="G51" s="1" t="s">
        <v>30</v>
      </c>
      <c r="H51" s="1" t="s">
        <v>153</v>
      </c>
      <c r="I51" s="1">
        <v>100</v>
      </c>
      <c r="J51" s="1" t="s">
        <v>231</v>
      </c>
      <c r="K51" s="1" t="s">
        <v>155</v>
      </c>
      <c r="L51" s="1" t="s">
        <v>34</v>
      </c>
      <c r="M51" s="1" t="s">
        <v>34</v>
      </c>
      <c r="N51" s="4">
        <v>100</v>
      </c>
      <c r="O51" s="4">
        <v>100</v>
      </c>
      <c r="P51" s="7">
        <v>40</v>
      </c>
      <c r="Q51" s="7">
        <v>71.428571428571431</v>
      </c>
      <c r="R51" s="3"/>
      <c r="S51" s="3"/>
      <c r="T51" s="3"/>
      <c r="U51" s="3"/>
      <c r="V51" s="3"/>
      <c r="W51" s="3"/>
      <c r="X51" s="3"/>
    </row>
    <row r="52" spans="1:24" hidden="1" x14ac:dyDescent="0.3">
      <c r="A52">
        <v>224</v>
      </c>
      <c r="B52" t="s">
        <v>230</v>
      </c>
      <c r="C52" t="s">
        <v>26</v>
      </c>
      <c r="D52" t="s">
        <v>93</v>
      </c>
      <c r="E52" t="s">
        <v>40</v>
      </c>
      <c r="F52" t="s">
        <v>53</v>
      </c>
      <c r="G52" t="s">
        <v>30</v>
      </c>
      <c r="H52" t="s">
        <v>153</v>
      </c>
      <c r="I52">
        <v>100</v>
      </c>
      <c r="J52" t="s">
        <v>231</v>
      </c>
      <c r="K52" t="s">
        <v>155</v>
      </c>
      <c r="L52" t="s">
        <v>172</v>
      </c>
      <c r="M52" t="s">
        <v>173</v>
      </c>
      <c r="N52" s="3">
        <v>100</v>
      </c>
      <c r="O52" s="3">
        <v>100</v>
      </c>
      <c r="P52" s="3">
        <v>100</v>
      </c>
      <c r="Q52" s="3">
        <v>81.819999999999993</v>
      </c>
      <c r="R52" s="3" t="s">
        <v>59</v>
      </c>
      <c r="S52" s="3" t="s">
        <v>59</v>
      </c>
      <c r="T52" s="3" t="s">
        <v>59</v>
      </c>
      <c r="U52" s="3" t="s">
        <v>59</v>
      </c>
      <c r="V52" s="3" t="s">
        <v>59</v>
      </c>
      <c r="W52" s="3" t="s">
        <v>59</v>
      </c>
      <c r="X52" s="3" t="s">
        <v>59</v>
      </c>
    </row>
    <row r="53" spans="1:24" hidden="1" x14ac:dyDescent="0.3">
      <c r="A53">
        <v>224</v>
      </c>
      <c r="B53" t="s">
        <v>230</v>
      </c>
      <c r="C53" t="s">
        <v>26</v>
      </c>
      <c r="D53" t="s">
        <v>93</v>
      </c>
      <c r="E53" t="s">
        <v>40</v>
      </c>
      <c r="F53" t="s">
        <v>53</v>
      </c>
      <c r="G53" t="s">
        <v>30</v>
      </c>
      <c r="H53" t="s">
        <v>153</v>
      </c>
      <c r="I53">
        <v>100</v>
      </c>
      <c r="J53" t="s">
        <v>231</v>
      </c>
      <c r="K53" t="s">
        <v>155</v>
      </c>
      <c r="L53" t="s">
        <v>174</v>
      </c>
      <c r="M53" t="s">
        <v>175</v>
      </c>
      <c r="N53" s="3">
        <v>100</v>
      </c>
      <c r="O53" s="3">
        <v>100</v>
      </c>
      <c r="P53" s="3">
        <v>100</v>
      </c>
      <c r="Q53" s="3">
        <v>33.33</v>
      </c>
      <c r="R53" s="3" t="s">
        <v>59</v>
      </c>
      <c r="S53" s="3" t="s">
        <v>59</v>
      </c>
      <c r="T53" s="3" t="s">
        <v>59</v>
      </c>
      <c r="U53" s="3" t="s">
        <v>59</v>
      </c>
      <c r="V53" s="3" t="s">
        <v>59</v>
      </c>
      <c r="W53" s="3" t="s">
        <v>59</v>
      </c>
      <c r="X53" s="3" t="s">
        <v>59</v>
      </c>
    </row>
    <row r="54" spans="1:24" hidden="1" x14ac:dyDescent="0.3">
      <c r="A54">
        <v>224</v>
      </c>
      <c r="B54" t="s">
        <v>230</v>
      </c>
      <c r="C54" t="s">
        <v>26</v>
      </c>
      <c r="D54" t="s">
        <v>93</v>
      </c>
      <c r="E54" t="s">
        <v>40</v>
      </c>
      <c r="F54" t="s">
        <v>53</v>
      </c>
      <c r="G54" t="s">
        <v>30</v>
      </c>
      <c r="H54" t="s">
        <v>153</v>
      </c>
      <c r="I54">
        <v>100</v>
      </c>
      <c r="J54" t="s">
        <v>231</v>
      </c>
      <c r="K54" t="s">
        <v>155</v>
      </c>
      <c r="L54" t="s">
        <v>176</v>
      </c>
      <c r="M54" t="s">
        <v>177</v>
      </c>
      <c r="N54" s="3" t="s">
        <v>59</v>
      </c>
      <c r="O54" s="3" t="s">
        <v>59</v>
      </c>
      <c r="P54" s="3">
        <v>100</v>
      </c>
      <c r="Q54" s="3" t="s">
        <v>59</v>
      </c>
      <c r="R54" s="3" t="s">
        <v>59</v>
      </c>
      <c r="S54" s="3" t="s">
        <v>59</v>
      </c>
      <c r="T54" s="3" t="s">
        <v>59</v>
      </c>
      <c r="U54" s="3" t="s">
        <v>59</v>
      </c>
      <c r="V54" s="3" t="s">
        <v>59</v>
      </c>
      <c r="W54" s="3" t="s">
        <v>59</v>
      </c>
      <c r="X54" s="3" t="s">
        <v>59</v>
      </c>
    </row>
    <row r="55" spans="1:24" hidden="1" x14ac:dyDescent="0.3">
      <c r="A55">
        <v>224</v>
      </c>
      <c r="B55" t="s">
        <v>230</v>
      </c>
      <c r="C55" t="s">
        <v>26</v>
      </c>
      <c r="D55" t="s">
        <v>93</v>
      </c>
      <c r="E55" t="s">
        <v>40</v>
      </c>
      <c r="F55" t="s">
        <v>53</v>
      </c>
      <c r="G55" t="s">
        <v>30</v>
      </c>
      <c r="H55" t="s">
        <v>153</v>
      </c>
      <c r="I55">
        <v>100</v>
      </c>
      <c r="J55" t="s">
        <v>231</v>
      </c>
      <c r="K55" t="s">
        <v>155</v>
      </c>
      <c r="L55" t="s">
        <v>178</v>
      </c>
      <c r="M55" t="s">
        <v>179</v>
      </c>
      <c r="N55" s="3">
        <v>100</v>
      </c>
      <c r="O55" s="3">
        <v>100</v>
      </c>
      <c r="P55" s="3"/>
      <c r="Q55" s="3" t="s">
        <v>59</v>
      </c>
      <c r="R55" s="3" t="s">
        <v>59</v>
      </c>
      <c r="S55" s="3" t="s">
        <v>59</v>
      </c>
      <c r="T55" s="3" t="s">
        <v>59</v>
      </c>
      <c r="U55" s="3" t="s">
        <v>59</v>
      </c>
      <c r="V55" s="3" t="s">
        <v>59</v>
      </c>
      <c r="W55" s="3" t="s">
        <v>59</v>
      </c>
      <c r="X55" s="3" t="s">
        <v>59</v>
      </c>
    </row>
    <row r="56" spans="1:24" hidden="1" x14ac:dyDescent="0.3">
      <c r="A56">
        <v>224</v>
      </c>
      <c r="B56" t="s">
        <v>230</v>
      </c>
      <c r="C56" t="s">
        <v>26</v>
      </c>
      <c r="D56" t="s">
        <v>93</v>
      </c>
      <c r="E56" t="s">
        <v>40</v>
      </c>
      <c r="F56" t="s">
        <v>53</v>
      </c>
      <c r="G56" t="s">
        <v>30</v>
      </c>
      <c r="H56" t="s">
        <v>153</v>
      </c>
      <c r="I56">
        <v>100</v>
      </c>
      <c r="J56" t="s">
        <v>231</v>
      </c>
      <c r="K56" t="s">
        <v>155</v>
      </c>
      <c r="L56" t="s">
        <v>180</v>
      </c>
      <c r="M56" t="s">
        <v>181</v>
      </c>
      <c r="N56" s="3">
        <v>100</v>
      </c>
      <c r="O56" s="3">
        <v>100</v>
      </c>
      <c r="P56" s="3" t="s">
        <v>59</v>
      </c>
      <c r="Q56" s="3" t="s">
        <v>59</v>
      </c>
      <c r="R56" s="3" t="s">
        <v>59</v>
      </c>
      <c r="S56" s="3" t="s">
        <v>59</v>
      </c>
      <c r="T56" s="3" t="s">
        <v>59</v>
      </c>
      <c r="U56" s="3" t="s">
        <v>59</v>
      </c>
      <c r="V56" s="3" t="s">
        <v>59</v>
      </c>
      <c r="W56" s="3" t="s">
        <v>59</v>
      </c>
      <c r="X56" s="3" t="s">
        <v>59</v>
      </c>
    </row>
    <row r="57" spans="1:24" hidden="1" x14ac:dyDescent="0.3">
      <c r="A57">
        <v>224</v>
      </c>
      <c r="B57" t="s">
        <v>230</v>
      </c>
      <c r="C57" t="s">
        <v>26</v>
      </c>
      <c r="D57" t="s">
        <v>93</v>
      </c>
      <c r="E57" t="s">
        <v>40</v>
      </c>
      <c r="F57" t="s">
        <v>53</v>
      </c>
      <c r="G57" t="s">
        <v>30</v>
      </c>
      <c r="H57" t="s">
        <v>153</v>
      </c>
      <c r="I57">
        <v>100</v>
      </c>
      <c r="J57" t="s">
        <v>231</v>
      </c>
      <c r="K57" t="s">
        <v>155</v>
      </c>
      <c r="L57" t="s">
        <v>182</v>
      </c>
      <c r="M57" t="s">
        <v>183</v>
      </c>
      <c r="N57" s="3" t="s">
        <v>59</v>
      </c>
      <c r="O57" s="3" t="s">
        <v>59</v>
      </c>
      <c r="P57" s="3" t="s">
        <v>59</v>
      </c>
      <c r="Q57" s="3" t="s">
        <v>59</v>
      </c>
      <c r="R57" s="3" t="s">
        <v>59</v>
      </c>
      <c r="S57" s="3" t="s">
        <v>59</v>
      </c>
      <c r="T57" s="3" t="s">
        <v>59</v>
      </c>
      <c r="U57" s="3" t="s">
        <v>59</v>
      </c>
      <c r="V57" s="3" t="s">
        <v>59</v>
      </c>
      <c r="W57" s="3" t="s">
        <v>59</v>
      </c>
      <c r="X57" s="3" t="s">
        <v>59</v>
      </c>
    </row>
    <row r="58" spans="1:24" hidden="1" x14ac:dyDescent="0.3">
      <c r="A58" s="1">
        <v>226</v>
      </c>
      <c r="B58" s="1" t="s">
        <v>234</v>
      </c>
      <c r="C58" s="1" t="s">
        <v>26</v>
      </c>
      <c r="D58" s="1" t="s">
        <v>93</v>
      </c>
      <c r="E58" s="1" t="s">
        <v>40</v>
      </c>
      <c r="F58" s="1" t="s">
        <v>53</v>
      </c>
      <c r="G58" s="1" t="s">
        <v>30</v>
      </c>
      <c r="H58" s="1" t="s">
        <v>153</v>
      </c>
      <c r="I58" s="1">
        <v>2</v>
      </c>
      <c r="J58" s="1" t="s">
        <v>235</v>
      </c>
      <c r="K58" s="1" t="s">
        <v>223</v>
      </c>
      <c r="L58" s="1" t="s">
        <v>34</v>
      </c>
      <c r="M58" s="1" t="s">
        <v>34</v>
      </c>
      <c r="N58" s="3"/>
      <c r="O58" s="5">
        <v>3531.11</v>
      </c>
      <c r="P58" s="5">
        <v>622.69000000000005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3">
        <v>0</v>
      </c>
      <c r="W58" s="3">
        <v>0</v>
      </c>
      <c r="X58" s="3">
        <v>0</v>
      </c>
    </row>
    <row r="59" spans="1:24" hidden="1" x14ac:dyDescent="0.3">
      <c r="A59">
        <v>226</v>
      </c>
      <c r="B59" t="s">
        <v>234</v>
      </c>
      <c r="C59" t="s">
        <v>26</v>
      </c>
      <c r="D59" t="s">
        <v>93</v>
      </c>
      <c r="E59" t="s">
        <v>40</v>
      </c>
      <c r="F59" t="s">
        <v>53</v>
      </c>
      <c r="G59" t="s">
        <v>30</v>
      </c>
      <c r="H59" t="s">
        <v>153</v>
      </c>
      <c r="I59">
        <v>2</v>
      </c>
      <c r="J59" t="s">
        <v>235</v>
      </c>
      <c r="K59" t="s">
        <v>223</v>
      </c>
      <c r="L59" t="s">
        <v>172</v>
      </c>
      <c r="M59" t="s">
        <v>173</v>
      </c>
      <c r="N59" s="3" t="s">
        <v>59</v>
      </c>
      <c r="O59" s="3">
        <v>1805.56</v>
      </c>
      <c r="P59" s="3">
        <v>437.65</v>
      </c>
      <c r="Q59" s="3">
        <v>268.64999999999998</v>
      </c>
      <c r="R59" s="3" t="s">
        <v>59</v>
      </c>
      <c r="S59" s="3" t="s">
        <v>59</v>
      </c>
      <c r="T59" s="3" t="s">
        <v>59</v>
      </c>
      <c r="U59" s="3" t="s">
        <v>59</v>
      </c>
      <c r="V59" s="3" t="s">
        <v>59</v>
      </c>
      <c r="W59" s="3" t="s">
        <v>59</v>
      </c>
      <c r="X59" s="3" t="s">
        <v>59</v>
      </c>
    </row>
    <row r="60" spans="1:24" hidden="1" x14ac:dyDescent="0.3">
      <c r="A60">
        <v>226</v>
      </c>
      <c r="B60" t="s">
        <v>234</v>
      </c>
      <c r="C60" t="s">
        <v>26</v>
      </c>
      <c r="D60" t="s">
        <v>93</v>
      </c>
      <c r="E60" t="s">
        <v>40</v>
      </c>
      <c r="F60" t="s">
        <v>53</v>
      </c>
      <c r="G60" t="s">
        <v>30</v>
      </c>
      <c r="H60" t="s">
        <v>153</v>
      </c>
      <c r="I60">
        <v>2</v>
      </c>
      <c r="J60" t="s">
        <v>235</v>
      </c>
      <c r="K60" t="s">
        <v>223</v>
      </c>
      <c r="L60" t="s">
        <v>174</v>
      </c>
      <c r="M60" t="s">
        <v>175</v>
      </c>
      <c r="N60" s="3" t="s">
        <v>59</v>
      </c>
      <c r="O60" s="3">
        <v>1087.22</v>
      </c>
      <c r="P60" s="3">
        <v>117.4</v>
      </c>
      <c r="Q60" s="3">
        <v>105.19</v>
      </c>
      <c r="R60" s="3" t="s">
        <v>59</v>
      </c>
      <c r="S60" s="3" t="s">
        <v>59</v>
      </c>
      <c r="T60" s="3" t="s">
        <v>59</v>
      </c>
      <c r="U60" s="3" t="s">
        <v>59</v>
      </c>
      <c r="V60" s="3" t="s">
        <v>59</v>
      </c>
      <c r="W60" s="3" t="s">
        <v>59</v>
      </c>
      <c r="X60" s="3" t="s">
        <v>59</v>
      </c>
    </row>
    <row r="61" spans="1:24" hidden="1" x14ac:dyDescent="0.3">
      <c r="A61">
        <v>226</v>
      </c>
      <c r="B61" t="s">
        <v>234</v>
      </c>
      <c r="C61" t="s">
        <v>26</v>
      </c>
      <c r="D61" t="s">
        <v>93</v>
      </c>
      <c r="E61" t="s">
        <v>40</v>
      </c>
      <c r="F61" t="s">
        <v>53</v>
      </c>
      <c r="G61" t="s">
        <v>30</v>
      </c>
      <c r="H61" t="s">
        <v>153</v>
      </c>
      <c r="I61">
        <v>2</v>
      </c>
      <c r="J61" t="s">
        <v>235</v>
      </c>
      <c r="K61" t="s">
        <v>223</v>
      </c>
      <c r="L61" t="s">
        <v>176</v>
      </c>
      <c r="M61" t="s">
        <v>177</v>
      </c>
      <c r="N61" s="3" t="s">
        <v>59</v>
      </c>
      <c r="O61" s="3">
        <v>37.29</v>
      </c>
      <c r="P61" s="3">
        <v>10.33</v>
      </c>
      <c r="Q61" s="3" t="s">
        <v>59</v>
      </c>
      <c r="R61" s="3" t="s">
        <v>59</v>
      </c>
      <c r="S61" s="3" t="s">
        <v>59</v>
      </c>
      <c r="T61" s="3" t="s">
        <v>59</v>
      </c>
      <c r="U61" s="3" t="s">
        <v>59</v>
      </c>
      <c r="V61" s="3" t="s">
        <v>59</v>
      </c>
      <c r="W61" s="3" t="s">
        <v>59</v>
      </c>
      <c r="X61" s="3" t="s">
        <v>59</v>
      </c>
    </row>
    <row r="62" spans="1:24" hidden="1" x14ac:dyDescent="0.3">
      <c r="A62">
        <v>226</v>
      </c>
      <c r="B62" t="s">
        <v>234</v>
      </c>
      <c r="C62" t="s">
        <v>26</v>
      </c>
      <c r="D62" t="s">
        <v>93</v>
      </c>
      <c r="E62" t="s">
        <v>40</v>
      </c>
      <c r="F62" t="s">
        <v>53</v>
      </c>
      <c r="G62" t="s">
        <v>30</v>
      </c>
      <c r="H62" t="s">
        <v>153</v>
      </c>
      <c r="I62">
        <v>2</v>
      </c>
      <c r="J62" t="s">
        <v>235</v>
      </c>
      <c r="K62" t="s">
        <v>223</v>
      </c>
      <c r="L62" t="s">
        <v>178</v>
      </c>
      <c r="M62" t="s">
        <v>179</v>
      </c>
      <c r="N62" s="3" t="s">
        <v>59</v>
      </c>
      <c r="O62" s="3">
        <v>570.16999999999996</v>
      </c>
      <c r="P62" s="3">
        <v>49.78</v>
      </c>
      <c r="Q62" s="3">
        <v>97.82</v>
      </c>
      <c r="R62" s="3" t="s">
        <v>59</v>
      </c>
      <c r="S62" s="3" t="s">
        <v>59</v>
      </c>
      <c r="T62" s="3" t="s">
        <v>59</v>
      </c>
      <c r="U62" s="3" t="s">
        <v>59</v>
      </c>
      <c r="V62" s="3" t="s">
        <v>59</v>
      </c>
      <c r="W62" s="3" t="s">
        <v>59</v>
      </c>
      <c r="X62" s="3" t="s">
        <v>59</v>
      </c>
    </row>
    <row r="63" spans="1:24" hidden="1" x14ac:dyDescent="0.3">
      <c r="A63">
        <v>226</v>
      </c>
      <c r="B63" t="s">
        <v>234</v>
      </c>
      <c r="C63" t="s">
        <v>26</v>
      </c>
      <c r="D63" t="s">
        <v>93</v>
      </c>
      <c r="E63" t="s">
        <v>40</v>
      </c>
      <c r="F63" t="s">
        <v>53</v>
      </c>
      <c r="G63" t="s">
        <v>30</v>
      </c>
      <c r="H63" t="s">
        <v>153</v>
      </c>
      <c r="I63">
        <v>2</v>
      </c>
      <c r="J63" t="s">
        <v>235</v>
      </c>
      <c r="K63" t="s">
        <v>223</v>
      </c>
      <c r="L63" t="s">
        <v>180</v>
      </c>
      <c r="M63" t="s">
        <v>181</v>
      </c>
      <c r="N63" s="3" t="s">
        <v>59</v>
      </c>
      <c r="O63" s="3">
        <v>19.64</v>
      </c>
      <c r="P63" s="3">
        <v>7.53</v>
      </c>
      <c r="Q63" s="3">
        <v>4.83</v>
      </c>
      <c r="R63" s="3" t="s">
        <v>59</v>
      </c>
      <c r="S63" s="3" t="s">
        <v>59</v>
      </c>
      <c r="T63" s="3" t="s">
        <v>59</v>
      </c>
      <c r="U63" s="3" t="s">
        <v>59</v>
      </c>
      <c r="V63" s="3" t="s">
        <v>59</v>
      </c>
      <c r="W63" s="3" t="s">
        <v>59</v>
      </c>
      <c r="X63" s="3" t="s">
        <v>59</v>
      </c>
    </row>
    <row r="64" spans="1:24" hidden="1" x14ac:dyDescent="0.3">
      <c r="A64">
        <v>226</v>
      </c>
      <c r="B64" t="s">
        <v>234</v>
      </c>
      <c r="C64" t="s">
        <v>26</v>
      </c>
      <c r="D64" t="s">
        <v>93</v>
      </c>
      <c r="E64" t="s">
        <v>40</v>
      </c>
      <c r="F64" t="s">
        <v>53</v>
      </c>
      <c r="G64" t="s">
        <v>30</v>
      </c>
      <c r="H64" t="s">
        <v>153</v>
      </c>
      <c r="I64">
        <v>2</v>
      </c>
      <c r="J64" t="s">
        <v>235</v>
      </c>
      <c r="K64" t="s">
        <v>223</v>
      </c>
      <c r="L64" t="s">
        <v>182</v>
      </c>
      <c r="M64" t="s">
        <v>183</v>
      </c>
      <c r="N64" s="3" t="s">
        <v>59</v>
      </c>
      <c r="O64" s="3">
        <v>11.23</v>
      </c>
      <c r="P64" s="3" t="s">
        <v>59</v>
      </c>
      <c r="Q64" s="3" t="s">
        <v>59</v>
      </c>
      <c r="R64" s="3" t="s">
        <v>59</v>
      </c>
      <c r="S64" s="3" t="s">
        <v>59</v>
      </c>
      <c r="T64" s="3" t="s">
        <v>59</v>
      </c>
      <c r="U64" s="3" t="s">
        <v>59</v>
      </c>
      <c r="V64" s="3" t="s">
        <v>59</v>
      </c>
      <c r="W64" s="3" t="s">
        <v>59</v>
      </c>
      <c r="X64" s="3" t="s">
        <v>59</v>
      </c>
    </row>
    <row r="65" spans="1:25" hidden="1" x14ac:dyDescent="0.3">
      <c r="A65" s="1">
        <v>227</v>
      </c>
      <c r="B65" s="1" t="s">
        <v>236</v>
      </c>
      <c r="C65" s="1" t="s">
        <v>26</v>
      </c>
      <c r="D65" s="1" t="s">
        <v>93</v>
      </c>
      <c r="E65" s="1" t="s">
        <v>40</v>
      </c>
      <c r="F65" s="1" t="s">
        <v>53</v>
      </c>
      <c r="G65" s="1" t="s">
        <v>41</v>
      </c>
      <c r="H65" s="1" t="s">
        <v>153</v>
      </c>
      <c r="I65" s="1">
        <v>0.3</v>
      </c>
      <c r="J65" s="1" t="s">
        <v>237</v>
      </c>
      <c r="K65" s="1" t="s">
        <v>223</v>
      </c>
      <c r="L65" s="1" t="s">
        <v>34</v>
      </c>
      <c r="M65" s="1" t="s">
        <v>34</v>
      </c>
      <c r="N65" s="3"/>
      <c r="O65" s="7">
        <v>3531.11</v>
      </c>
      <c r="P65" s="5">
        <v>0.01</v>
      </c>
      <c r="Q65" s="5">
        <v>0.01</v>
      </c>
      <c r="R65" s="5">
        <v>0</v>
      </c>
      <c r="S65" s="5">
        <v>0</v>
      </c>
      <c r="T65" s="5">
        <v>0</v>
      </c>
      <c r="U65" s="5">
        <v>0</v>
      </c>
      <c r="V65" s="3">
        <v>0</v>
      </c>
      <c r="W65" s="3">
        <v>0</v>
      </c>
      <c r="X65" s="3">
        <v>0</v>
      </c>
    </row>
    <row r="66" spans="1:25" hidden="1" x14ac:dyDescent="0.3">
      <c r="A66">
        <v>227</v>
      </c>
      <c r="B66" t="s">
        <v>236</v>
      </c>
      <c r="C66" t="s">
        <v>26</v>
      </c>
      <c r="D66" t="s">
        <v>93</v>
      </c>
      <c r="E66" t="s">
        <v>40</v>
      </c>
      <c r="F66" t="s">
        <v>53</v>
      </c>
      <c r="G66" t="s">
        <v>41</v>
      </c>
      <c r="H66" t="s">
        <v>153</v>
      </c>
      <c r="I66">
        <v>0.3</v>
      </c>
      <c r="J66" t="s">
        <v>237</v>
      </c>
      <c r="K66" t="s">
        <v>223</v>
      </c>
      <c r="L66" t="s">
        <v>172</v>
      </c>
      <c r="M66" t="s">
        <v>173</v>
      </c>
      <c r="N66" s="3" t="s">
        <v>59</v>
      </c>
      <c r="O66" s="3" t="s">
        <v>59</v>
      </c>
      <c r="P66" s="3">
        <v>0.01</v>
      </c>
      <c r="Q66" s="3">
        <v>0.01</v>
      </c>
      <c r="R66" s="3" t="s">
        <v>59</v>
      </c>
      <c r="S66" s="3" t="s">
        <v>59</v>
      </c>
      <c r="T66" s="3" t="s">
        <v>59</v>
      </c>
      <c r="U66" s="3" t="s">
        <v>59</v>
      </c>
      <c r="V66" s="3" t="s">
        <v>59</v>
      </c>
      <c r="W66" s="3" t="s">
        <v>59</v>
      </c>
      <c r="X66" s="3" t="s">
        <v>59</v>
      </c>
    </row>
    <row r="67" spans="1:25" hidden="1" x14ac:dyDescent="0.3">
      <c r="A67">
        <v>227</v>
      </c>
      <c r="B67" t="s">
        <v>236</v>
      </c>
      <c r="C67" t="s">
        <v>26</v>
      </c>
      <c r="D67" t="s">
        <v>93</v>
      </c>
      <c r="E67" t="s">
        <v>40</v>
      </c>
      <c r="F67" t="s">
        <v>53</v>
      </c>
      <c r="G67" t="s">
        <v>41</v>
      </c>
      <c r="H67" t="s">
        <v>153</v>
      </c>
      <c r="I67">
        <v>0.3</v>
      </c>
      <c r="J67" t="s">
        <v>237</v>
      </c>
      <c r="K67" t="s">
        <v>223</v>
      </c>
      <c r="L67" t="s">
        <v>174</v>
      </c>
      <c r="M67" t="s">
        <v>175</v>
      </c>
      <c r="N67" s="3" t="s">
        <v>59</v>
      </c>
      <c r="O67" s="3" t="s">
        <v>59</v>
      </c>
      <c r="P67" s="3"/>
      <c r="Q67" s="3"/>
      <c r="R67" s="3" t="s">
        <v>59</v>
      </c>
      <c r="S67" s="3" t="s">
        <v>59</v>
      </c>
      <c r="T67" s="3" t="s">
        <v>59</v>
      </c>
      <c r="U67" s="3" t="s">
        <v>59</v>
      </c>
      <c r="V67" s="3" t="s">
        <v>59</v>
      </c>
      <c r="W67" s="3" t="s">
        <v>59</v>
      </c>
      <c r="X67" s="3" t="s">
        <v>59</v>
      </c>
    </row>
    <row r="68" spans="1:25" hidden="1" x14ac:dyDescent="0.3">
      <c r="A68">
        <v>227</v>
      </c>
      <c r="B68" t="s">
        <v>236</v>
      </c>
      <c r="C68" t="s">
        <v>26</v>
      </c>
      <c r="D68" t="s">
        <v>93</v>
      </c>
      <c r="E68" t="s">
        <v>40</v>
      </c>
      <c r="F68" t="s">
        <v>53</v>
      </c>
      <c r="G68" t="s">
        <v>41</v>
      </c>
      <c r="H68" t="s">
        <v>153</v>
      </c>
      <c r="I68">
        <v>0.3</v>
      </c>
      <c r="J68" t="s">
        <v>237</v>
      </c>
      <c r="K68" t="s">
        <v>223</v>
      </c>
      <c r="L68" t="s">
        <v>176</v>
      </c>
      <c r="M68" t="s">
        <v>177</v>
      </c>
      <c r="N68" s="3" t="s">
        <v>59</v>
      </c>
      <c r="O68" s="3" t="s">
        <v>59</v>
      </c>
      <c r="P68" s="3" t="s">
        <v>59</v>
      </c>
      <c r="Q68" s="3" t="s">
        <v>59</v>
      </c>
      <c r="R68" s="3" t="s">
        <v>59</v>
      </c>
      <c r="S68" s="3" t="s">
        <v>59</v>
      </c>
      <c r="T68" s="3" t="s">
        <v>59</v>
      </c>
      <c r="U68" s="3" t="s">
        <v>59</v>
      </c>
      <c r="V68" s="3" t="s">
        <v>59</v>
      </c>
      <c r="W68" s="3" t="s">
        <v>59</v>
      </c>
      <c r="X68" s="3" t="s">
        <v>59</v>
      </c>
    </row>
    <row r="69" spans="1:25" hidden="1" x14ac:dyDescent="0.3">
      <c r="A69">
        <v>227</v>
      </c>
      <c r="B69" t="s">
        <v>236</v>
      </c>
      <c r="C69" t="s">
        <v>26</v>
      </c>
      <c r="D69" t="s">
        <v>93</v>
      </c>
      <c r="E69" t="s">
        <v>40</v>
      </c>
      <c r="F69" t="s">
        <v>53</v>
      </c>
      <c r="G69" t="s">
        <v>41</v>
      </c>
      <c r="H69" t="s">
        <v>153</v>
      </c>
      <c r="I69">
        <v>0.3</v>
      </c>
      <c r="J69" t="s">
        <v>237</v>
      </c>
      <c r="K69" t="s">
        <v>223</v>
      </c>
      <c r="L69" t="s">
        <v>178</v>
      </c>
      <c r="M69" t="s">
        <v>179</v>
      </c>
      <c r="N69" s="3" t="s">
        <v>59</v>
      </c>
      <c r="O69" s="3" t="s">
        <v>59</v>
      </c>
      <c r="P69" s="3"/>
      <c r="Q69" s="3"/>
      <c r="R69" s="3" t="s">
        <v>59</v>
      </c>
      <c r="S69" s="3" t="s">
        <v>59</v>
      </c>
      <c r="T69" s="3" t="s">
        <v>59</v>
      </c>
      <c r="U69" s="3" t="s">
        <v>59</v>
      </c>
      <c r="V69" s="3" t="s">
        <v>59</v>
      </c>
      <c r="W69" s="3" t="s">
        <v>59</v>
      </c>
      <c r="X69" s="3" t="s">
        <v>59</v>
      </c>
    </row>
    <row r="70" spans="1:25" hidden="1" x14ac:dyDescent="0.3">
      <c r="A70">
        <v>227</v>
      </c>
      <c r="B70" t="s">
        <v>236</v>
      </c>
      <c r="C70" t="s">
        <v>26</v>
      </c>
      <c r="D70" t="s">
        <v>93</v>
      </c>
      <c r="E70" t="s">
        <v>40</v>
      </c>
      <c r="F70" t="s">
        <v>53</v>
      </c>
      <c r="G70" t="s">
        <v>41</v>
      </c>
      <c r="H70" t="s">
        <v>153</v>
      </c>
      <c r="I70">
        <v>0.3</v>
      </c>
      <c r="J70" t="s">
        <v>237</v>
      </c>
      <c r="K70" t="s">
        <v>223</v>
      </c>
      <c r="L70" t="s">
        <v>180</v>
      </c>
      <c r="M70" t="s">
        <v>181</v>
      </c>
      <c r="N70" s="3" t="s">
        <v>59</v>
      </c>
      <c r="O70" s="3" t="s">
        <v>59</v>
      </c>
      <c r="P70" s="3"/>
      <c r="Q70" s="3"/>
      <c r="R70" s="3" t="s">
        <v>59</v>
      </c>
      <c r="S70" s="3" t="s">
        <v>59</v>
      </c>
      <c r="T70" s="3" t="s">
        <v>59</v>
      </c>
      <c r="U70" s="3" t="s">
        <v>59</v>
      </c>
      <c r="V70" s="3" t="s">
        <v>59</v>
      </c>
      <c r="W70" s="3" t="s">
        <v>59</v>
      </c>
      <c r="X70" s="3" t="s">
        <v>59</v>
      </c>
    </row>
    <row r="71" spans="1:25" hidden="1" x14ac:dyDescent="0.3">
      <c r="A71">
        <v>227</v>
      </c>
      <c r="B71" t="s">
        <v>236</v>
      </c>
      <c r="C71" t="s">
        <v>26</v>
      </c>
      <c r="D71" t="s">
        <v>93</v>
      </c>
      <c r="E71" t="s">
        <v>40</v>
      </c>
      <c r="F71" t="s">
        <v>53</v>
      </c>
      <c r="G71" t="s">
        <v>41</v>
      </c>
      <c r="H71" t="s">
        <v>153</v>
      </c>
      <c r="I71">
        <v>0.3</v>
      </c>
      <c r="J71" t="s">
        <v>237</v>
      </c>
      <c r="K71" t="s">
        <v>223</v>
      </c>
      <c r="L71" t="s">
        <v>182</v>
      </c>
      <c r="M71" t="s">
        <v>183</v>
      </c>
      <c r="N71" s="3" t="s">
        <v>59</v>
      </c>
      <c r="O71" s="3" t="s">
        <v>59</v>
      </c>
      <c r="P71" s="3" t="s">
        <v>59</v>
      </c>
      <c r="Q71" s="3" t="s">
        <v>59</v>
      </c>
      <c r="R71" s="3" t="s">
        <v>59</v>
      </c>
      <c r="S71" s="3" t="s">
        <v>59</v>
      </c>
      <c r="T71" s="3" t="s">
        <v>59</v>
      </c>
      <c r="U71" s="3" t="s">
        <v>59</v>
      </c>
      <c r="V71" s="3" t="s">
        <v>59</v>
      </c>
      <c r="W71" s="3" t="s">
        <v>59</v>
      </c>
      <c r="X71" s="3" t="s">
        <v>59</v>
      </c>
    </row>
    <row r="72" spans="1:25" hidden="1" x14ac:dyDescent="0.3">
      <c r="A72" s="1">
        <v>228</v>
      </c>
      <c r="B72" s="1" t="s">
        <v>238</v>
      </c>
      <c r="C72" s="1" t="s">
        <v>26</v>
      </c>
      <c r="D72" s="1" t="s">
        <v>93</v>
      </c>
      <c r="E72" s="1" t="s">
        <v>28</v>
      </c>
      <c r="F72" s="1" t="s">
        <v>53</v>
      </c>
      <c r="G72" s="1" t="s">
        <v>30</v>
      </c>
      <c r="H72" s="1" t="s">
        <v>153</v>
      </c>
      <c r="I72" s="1">
        <v>100</v>
      </c>
      <c r="J72" s="1" t="s">
        <v>239</v>
      </c>
      <c r="K72" s="1" t="s">
        <v>155</v>
      </c>
      <c r="L72" s="1" t="s">
        <v>34</v>
      </c>
      <c r="M72" s="1" t="s">
        <v>34</v>
      </c>
      <c r="N72" s="3"/>
      <c r="O72" s="5">
        <v>3531.11</v>
      </c>
      <c r="P72" s="4">
        <v>100</v>
      </c>
      <c r="Q72" s="5">
        <v>100.10703267644649</v>
      </c>
      <c r="R72" s="5">
        <v>137.43493771565591</v>
      </c>
      <c r="S72" s="5">
        <v>100.2620959354329</v>
      </c>
      <c r="T72" s="7">
        <v>53.144860837168537</v>
      </c>
      <c r="U72" s="5">
        <v>100.1169248757673</v>
      </c>
      <c r="V72" s="3">
        <v>0</v>
      </c>
      <c r="W72" s="3">
        <v>0</v>
      </c>
      <c r="X72" s="3">
        <v>0</v>
      </c>
    </row>
    <row r="73" spans="1:25" hidden="1" x14ac:dyDescent="0.3">
      <c r="A73">
        <v>228</v>
      </c>
      <c r="B73" t="s">
        <v>238</v>
      </c>
      <c r="C73" t="s">
        <v>26</v>
      </c>
      <c r="D73" t="s">
        <v>93</v>
      </c>
      <c r="E73" t="s">
        <v>28</v>
      </c>
      <c r="F73" t="s">
        <v>53</v>
      </c>
      <c r="G73" t="s">
        <v>30</v>
      </c>
      <c r="H73" t="s">
        <v>153</v>
      </c>
      <c r="I73">
        <v>100</v>
      </c>
      <c r="J73" t="s">
        <v>239</v>
      </c>
      <c r="K73" t="s">
        <v>155</v>
      </c>
      <c r="L73" t="s">
        <v>172</v>
      </c>
      <c r="M73" t="s">
        <v>173</v>
      </c>
      <c r="N73" s="3" t="s">
        <v>59</v>
      </c>
      <c r="O73" s="3" t="s">
        <v>59</v>
      </c>
      <c r="P73" s="3">
        <v>100</v>
      </c>
      <c r="Q73" s="3">
        <v>100.19</v>
      </c>
      <c r="R73" s="3" t="s">
        <v>59</v>
      </c>
      <c r="S73" s="3" t="s">
        <v>59</v>
      </c>
      <c r="T73" s="3" t="s">
        <v>59</v>
      </c>
      <c r="U73" s="3" t="s">
        <v>59</v>
      </c>
      <c r="V73" s="3" t="s">
        <v>59</v>
      </c>
      <c r="W73" s="3" t="s">
        <v>59</v>
      </c>
      <c r="X73" s="3" t="s">
        <v>59</v>
      </c>
    </row>
    <row r="74" spans="1:25" hidden="1" x14ac:dyDescent="0.3">
      <c r="A74">
        <v>228</v>
      </c>
      <c r="B74" t="s">
        <v>238</v>
      </c>
      <c r="C74" t="s">
        <v>26</v>
      </c>
      <c r="D74" t="s">
        <v>93</v>
      </c>
      <c r="E74" t="s">
        <v>28</v>
      </c>
      <c r="F74" t="s">
        <v>53</v>
      </c>
      <c r="G74" t="s">
        <v>30</v>
      </c>
      <c r="H74" t="s">
        <v>153</v>
      </c>
      <c r="I74">
        <v>100</v>
      </c>
      <c r="J74" t="s">
        <v>239</v>
      </c>
      <c r="K74" t="s">
        <v>155</v>
      </c>
      <c r="L74" t="s">
        <v>174</v>
      </c>
      <c r="M74" t="s">
        <v>175</v>
      </c>
      <c r="N74" s="3" t="s">
        <v>59</v>
      </c>
      <c r="O74" s="3" t="s">
        <v>59</v>
      </c>
      <c r="P74" s="3">
        <v>100</v>
      </c>
      <c r="Q74" s="3" t="s">
        <v>59</v>
      </c>
      <c r="R74" s="3" t="s">
        <v>59</v>
      </c>
      <c r="S74" s="3" t="s">
        <v>59</v>
      </c>
      <c r="T74" s="3" t="s">
        <v>59</v>
      </c>
      <c r="U74" s="3" t="s">
        <v>59</v>
      </c>
      <c r="V74" s="3" t="s">
        <v>59</v>
      </c>
      <c r="W74" s="3" t="s">
        <v>59</v>
      </c>
      <c r="X74" s="3" t="s">
        <v>59</v>
      </c>
    </row>
    <row r="75" spans="1:25" hidden="1" x14ac:dyDescent="0.3">
      <c r="A75">
        <v>228</v>
      </c>
      <c r="B75" t="s">
        <v>238</v>
      </c>
      <c r="C75" t="s">
        <v>26</v>
      </c>
      <c r="D75" t="s">
        <v>93</v>
      </c>
      <c r="E75" t="s">
        <v>28</v>
      </c>
      <c r="F75" t="s">
        <v>53</v>
      </c>
      <c r="G75" t="s">
        <v>30</v>
      </c>
      <c r="H75" t="s">
        <v>153</v>
      </c>
      <c r="I75">
        <v>100</v>
      </c>
      <c r="J75" t="s">
        <v>239</v>
      </c>
      <c r="K75" t="s">
        <v>155</v>
      </c>
      <c r="L75" t="s">
        <v>176</v>
      </c>
      <c r="M75" t="s">
        <v>177</v>
      </c>
      <c r="N75" s="3" t="s">
        <v>59</v>
      </c>
      <c r="O75" s="3" t="s">
        <v>59</v>
      </c>
      <c r="P75" s="3">
        <v>100</v>
      </c>
      <c r="Q75" s="3" t="s">
        <v>59</v>
      </c>
      <c r="R75" s="3" t="s">
        <v>59</v>
      </c>
      <c r="S75" s="3" t="s">
        <v>59</v>
      </c>
      <c r="T75" s="3" t="s">
        <v>59</v>
      </c>
      <c r="U75" s="3" t="s">
        <v>59</v>
      </c>
      <c r="V75" s="3" t="s">
        <v>59</v>
      </c>
      <c r="W75" s="3" t="s">
        <v>59</v>
      </c>
      <c r="X75" s="3" t="s">
        <v>59</v>
      </c>
    </row>
    <row r="76" spans="1:25" hidden="1" x14ac:dyDescent="0.3">
      <c r="A76">
        <v>228</v>
      </c>
      <c r="B76" t="s">
        <v>238</v>
      </c>
      <c r="C76" t="s">
        <v>26</v>
      </c>
      <c r="D76" t="s">
        <v>93</v>
      </c>
      <c r="E76" t="s">
        <v>28</v>
      </c>
      <c r="F76" t="s">
        <v>53</v>
      </c>
      <c r="G76" t="s">
        <v>30</v>
      </c>
      <c r="H76" t="s">
        <v>153</v>
      </c>
      <c r="I76">
        <v>100</v>
      </c>
      <c r="J76" t="s">
        <v>239</v>
      </c>
      <c r="K76" t="s">
        <v>155</v>
      </c>
      <c r="L76" t="s">
        <v>178</v>
      </c>
      <c r="M76" t="s">
        <v>179</v>
      </c>
      <c r="N76" s="3" t="s">
        <v>59</v>
      </c>
      <c r="O76" s="3" t="s">
        <v>59</v>
      </c>
      <c r="P76" s="3">
        <v>100</v>
      </c>
      <c r="Q76" s="3" t="s">
        <v>59</v>
      </c>
      <c r="R76" s="3" t="s">
        <v>59</v>
      </c>
      <c r="S76" s="3" t="s">
        <v>59</v>
      </c>
      <c r="T76" s="3" t="s">
        <v>59</v>
      </c>
      <c r="U76" s="3" t="s">
        <v>59</v>
      </c>
      <c r="V76" s="3" t="s">
        <v>59</v>
      </c>
      <c r="W76" s="3" t="s">
        <v>59</v>
      </c>
      <c r="X76" s="3" t="s">
        <v>59</v>
      </c>
    </row>
    <row r="77" spans="1:25" hidden="1" x14ac:dyDescent="0.3">
      <c r="A77">
        <v>228</v>
      </c>
      <c r="B77" t="s">
        <v>238</v>
      </c>
      <c r="C77" t="s">
        <v>26</v>
      </c>
      <c r="D77" t="s">
        <v>93</v>
      </c>
      <c r="E77" t="s">
        <v>28</v>
      </c>
      <c r="F77" t="s">
        <v>53</v>
      </c>
      <c r="G77" t="s">
        <v>30</v>
      </c>
      <c r="H77" t="s">
        <v>153</v>
      </c>
      <c r="I77">
        <v>100</v>
      </c>
      <c r="J77" t="s">
        <v>239</v>
      </c>
      <c r="K77" t="s">
        <v>155</v>
      </c>
      <c r="L77" t="s">
        <v>180</v>
      </c>
      <c r="M77" t="s">
        <v>181</v>
      </c>
      <c r="N77" s="3" t="s">
        <v>59</v>
      </c>
      <c r="O77" s="3" t="s">
        <v>59</v>
      </c>
      <c r="P77" s="3">
        <v>100</v>
      </c>
      <c r="Q77" s="3">
        <v>100</v>
      </c>
      <c r="R77" s="3" t="s">
        <v>59</v>
      </c>
      <c r="S77" s="3" t="s">
        <v>59</v>
      </c>
      <c r="T77" s="3" t="s">
        <v>59</v>
      </c>
      <c r="U77" s="3" t="s">
        <v>59</v>
      </c>
      <c r="V77" s="3" t="s">
        <v>59</v>
      </c>
      <c r="W77" s="3" t="s">
        <v>59</v>
      </c>
      <c r="X77" s="3" t="s">
        <v>59</v>
      </c>
    </row>
    <row r="78" spans="1:25" hidden="1" x14ac:dyDescent="0.3">
      <c r="A78">
        <v>228</v>
      </c>
      <c r="B78" t="s">
        <v>238</v>
      </c>
      <c r="C78" t="s">
        <v>26</v>
      </c>
      <c r="D78" t="s">
        <v>93</v>
      </c>
      <c r="E78" t="s">
        <v>28</v>
      </c>
      <c r="F78" t="s">
        <v>53</v>
      </c>
      <c r="G78" t="s">
        <v>30</v>
      </c>
      <c r="H78" t="s">
        <v>153</v>
      </c>
      <c r="I78">
        <v>100</v>
      </c>
      <c r="J78" t="s">
        <v>239</v>
      </c>
      <c r="K78" t="s">
        <v>155</v>
      </c>
      <c r="L78" t="s">
        <v>182</v>
      </c>
      <c r="M78" t="s">
        <v>183</v>
      </c>
      <c r="N78" s="3" t="s">
        <v>59</v>
      </c>
      <c r="O78" s="3" t="s">
        <v>59</v>
      </c>
      <c r="P78" s="3" t="s">
        <v>59</v>
      </c>
      <c r="Q78" s="3" t="s">
        <v>59</v>
      </c>
      <c r="R78" s="3" t="s">
        <v>59</v>
      </c>
      <c r="S78" s="3" t="s">
        <v>59</v>
      </c>
      <c r="T78" s="3" t="s">
        <v>59</v>
      </c>
      <c r="U78" s="3" t="s">
        <v>59</v>
      </c>
      <c r="V78" s="3" t="s">
        <v>59</v>
      </c>
      <c r="W78" s="3" t="s">
        <v>59</v>
      </c>
      <c r="X78" s="3" t="s">
        <v>59</v>
      </c>
    </row>
    <row r="79" spans="1:25" hidden="1" x14ac:dyDescent="0.3">
      <c r="A79" s="1">
        <v>235</v>
      </c>
      <c r="B79" s="1" t="s">
        <v>250</v>
      </c>
      <c r="C79" s="1" t="s">
        <v>26</v>
      </c>
      <c r="D79" s="1" t="s">
        <v>93</v>
      </c>
      <c r="E79" s="1" t="s">
        <v>28</v>
      </c>
      <c r="F79" s="1" t="s">
        <v>53</v>
      </c>
      <c r="G79" s="1" t="s">
        <v>30</v>
      </c>
      <c r="H79" s="1" t="s">
        <v>31</v>
      </c>
      <c r="I79" s="1">
        <v>100</v>
      </c>
      <c r="J79" s="1" t="s">
        <v>251</v>
      </c>
      <c r="K79" s="1" t="s">
        <v>33</v>
      </c>
      <c r="L79" s="1" t="s">
        <v>33</v>
      </c>
      <c r="M79" s="1" t="s">
        <v>34</v>
      </c>
      <c r="N79" s="3"/>
      <c r="O79" s="6">
        <v>92.012779552715998</v>
      </c>
      <c r="P79" s="6">
        <v>81.652892561982995</v>
      </c>
      <c r="Q79" s="3"/>
      <c r="R79" s="3"/>
      <c r="S79" s="3"/>
      <c r="T79" s="3"/>
      <c r="U79" s="3"/>
      <c r="V79" s="3"/>
      <c r="W79" s="3"/>
      <c r="X79" s="3"/>
      <c r="Y79" s="3"/>
    </row>
    <row r="80" spans="1:25" hidden="1" x14ac:dyDescent="0.3">
      <c r="A80" s="1">
        <v>236</v>
      </c>
      <c r="B80" s="1" t="s">
        <v>252</v>
      </c>
      <c r="C80" s="1" t="s">
        <v>26</v>
      </c>
      <c r="D80" s="1" t="s">
        <v>93</v>
      </c>
      <c r="E80" s="1" t="s">
        <v>28</v>
      </c>
      <c r="F80" s="1" t="s">
        <v>53</v>
      </c>
      <c r="G80" s="1" t="s">
        <v>41</v>
      </c>
      <c r="H80" s="1" t="s">
        <v>31</v>
      </c>
      <c r="I80" s="1">
        <v>0</v>
      </c>
      <c r="J80" s="1" t="s">
        <v>253</v>
      </c>
      <c r="K80" s="1" t="s">
        <v>33</v>
      </c>
      <c r="L80" s="1" t="s">
        <v>33</v>
      </c>
      <c r="M80" s="1" t="s">
        <v>34</v>
      </c>
      <c r="N80" s="3"/>
      <c r="O80" s="4">
        <v>0</v>
      </c>
      <c r="P80" s="4">
        <v>0</v>
      </c>
      <c r="Q80" s="3"/>
      <c r="R80" s="3"/>
      <c r="S80" s="3"/>
      <c r="T80" s="3"/>
      <c r="U80" s="3"/>
      <c r="V80" s="3"/>
      <c r="W80" s="3"/>
      <c r="X80" s="3"/>
    </row>
    <row r="81" spans="1:25" hidden="1" x14ac:dyDescent="0.3">
      <c r="A81" s="1">
        <v>244</v>
      </c>
      <c r="B81" s="1" t="s">
        <v>289</v>
      </c>
      <c r="C81" s="1" t="s">
        <v>47</v>
      </c>
      <c r="D81" s="1" t="s">
        <v>93</v>
      </c>
      <c r="E81" s="1" t="s">
        <v>28</v>
      </c>
      <c r="F81" s="1" t="s">
        <v>53</v>
      </c>
      <c r="G81" s="1" t="s">
        <v>41</v>
      </c>
      <c r="H81" s="1" t="s">
        <v>31</v>
      </c>
      <c r="I81" s="1">
        <v>25</v>
      </c>
      <c r="J81" s="1" t="s">
        <v>290</v>
      </c>
      <c r="K81" s="1" t="s">
        <v>33</v>
      </c>
      <c r="L81" s="1" t="s">
        <v>33</v>
      </c>
      <c r="M81" s="1" t="s">
        <v>34</v>
      </c>
      <c r="N81" s="5">
        <v>13</v>
      </c>
      <c r="O81" s="4">
        <v>25</v>
      </c>
      <c r="P81" s="4">
        <v>24</v>
      </c>
      <c r="Q81" s="9">
        <v>27</v>
      </c>
      <c r="R81" s="9">
        <v>20</v>
      </c>
      <c r="S81" s="9">
        <v>18</v>
      </c>
      <c r="T81" s="9">
        <v>21</v>
      </c>
      <c r="U81" s="9">
        <v>25</v>
      </c>
      <c r="V81" s="3"/>
      <c r="W81" s="3"/>
      <c r="X81" s="3"/>
    </row>
    <row r="82" spans="1:25" hidden="1" x14ac:dyDescent="0.3">
      <c r="A82" s="1">
        <v>255</v>
      </c>
      <c r="B82" s="1" t="s">
        <v>305</v>
      </c>
      <c r="C82" s="1" t="s">
        <v>47</v>
      </c>
      <c r="D82" s="1" t="s">
        <v>134</v>
      </c>
      <c r="E82" s="1" t="s">
        <v>28</v>
      </c>
      <c r="F82" s="1" t="s">
        <v>53</v>
      </c>
      <c r="G82" s="1" t="s">
        <v>30</v>
      </c>
      <c r="H82" s="1" t="s">
        <v>153</v>
      </c>
      <c r="I82" s="1" t="s">
        <v>117</v>
      </c>
      <c r="J82" s="1" t="s">
        <v>306</v>
      </c>
      <c r="K82" s="1" t="s">
        <v>207</v>
      </c>
      <c r="L82" s="1" t="s">
        <v>34</v>
      </c>
      <c r="M82" s="1" t="s">
        <v>34</v>
      </c>
      <c r="N82" s="3"/>
      <c r="O82" s="8">
        <v>15</v>
      </c>
      <c r="P82" s="8">
        <v>18</v>
      </c>
      <c r="Q82" s="3" t="s">
        <v>59</v>
      </c>
      <c r="R82" s="3" t="s">
        <v>59</v>
      </c>
      <c r="S82" s="3" t="s">
        <v>59</v>
      </c>
      <c r="T82" s="3"/>
      <c r="U82" s="3"/>
      <c r="V82" s="3"/>
      <c r="W82" s="3"/>
      <c r="X82" s="3"/>
    </row>
    <row r="83" spans="1:25" hidden="1" x14ac:dyDescent="0.3">
      <c r="A83">
        <v>255</v>
      </c>
      <c r="B83" t="s">
        <v>305</v>
      </c>
      <c r="C83" t="s">
        <v>47</v>
      </c>
      <c r="D83" t="s">
        <v>134</v>
      </c>
      <c r="E83" t="s">
        <v>28</v>
      </c>
      <c r="F83" t="s">
        <v>53</v>
      </c>
      <c r="G83" t="s">
        <v>30</v>
      </c>
      <c r="H83" t="s">
        <v>153</v>
      </c>
      <c r="I83" t="s">
        <v>117</v>
      </c>
      <c r="J83" t="s">
        <v>306</v>
      </c>
      <c r="K83" t="s">
        <v>207</v>
      </c>
      <c r="L83" t="s">
        <v>307</v>
      </c>
      <c r="M83" t="s">
        <v>308</v>
      </c>
      <c r="N83" s="3" t="s">
        <v>59</v>
      </c>
      <c r="O83" s="3" t="s">
        <v>59</v>
      </c>
      <c r="P83" s="3" t="s">
        <v>59</v>
      </c>
      <c r="Q83" s="3" t="s">
        <v>59</v>
      </c>
      <c r="R83" s="3" t="s">
        <v>59</v>
      </c>
      <c r="S83" s="3" t="s">
        <v>59</v>
      </c>
      <c r="T83" s="3" t="s">
        <v>59</v>
      </c>
      <c r="U83" s="3" t="s">
        <v>59</v>
      </c>
      <c r="V83" s="3" t="s">
        <v>59</v>
      </c>
      <c r="W83" s="3" t="s">
        <v>59</v>
      </c>
      <c r="X83" s="3" t="s">
        <v>59</v>
      </c>
    </row>
    <row r="84" spans="1:25" hidden="1" x14ac:dyDescent="0.3">
      <c r="A84">
        <v>255</v>
      </c>
      <c r="B84" t="s">
        <v>305</v>
      </c>
      <c r="C84" t="s">
        <v>47</v>
      </c>
      <c r="D84" t="s">
        <v>134</v>
      </c>
      <c r="E84" t="s">
        <v>28</v>
      </c>
      <c r="F84" t="s">
        <v>53</v>
      </c>
      <c r="G84" t="s">
        <v>30</v>
      </c>
      <c r="H84" t="s">
        <v>153</v>
      </c>
      <c r="I84" t="s">
        <v>117</v>
      </c>
      <c r="J84" t="s">
        <v>306</v>
      </c>
      <c r="K84" t="s">
        <v>207</v>
      </c>
      <c r="L84" t="s">
        <v>309</v>
      </c>
      <c r="M84" t="s">
        <v>310</v>
      </c>
      <c r="N84" s="3" t="s">
        <v>59</v>
      </c>
      <c r="O84" s="3">
        <v>13</v>
      </c>
      <c r="P84" s="3">
        <v>18</v>
      </c>
      <c r="Q84" s="3" t="s">
        <v>59</v>
      </c>
      <c r="R84" s="3" t="s">
        <v>59</v>
      </c>
      <c r="S84" s="3" t="s">
        <v>59</v>
      </c>
      <c r="T84" s="3" t="s">
        <v>59</v>
      </c>
      <c r="U84" s="3" t="s">
        <v>59</v>
      </c>
      <c r="V84" s="3" t="s">
        <v>59</v>
      </c>
      <c r="W84" s="3" t="s">
        <v>59</v>
      </c>
      <c r="X84" s="3" t="s">
        <v>59</v>
      </c>
    </row>
    <row r="85" spans="1:25" hidden="1" x14ac:dyDescent="0.3">
      <c r="A85">
        <v>255</v>
      </c>
      <c r="B85" t="s">
        <v>305</v>
      </c>
      <c r="C85" t="s">
        <v>47</v>
      </c>
      <c r="D85" t="s">
        <v>134</v>
      </c>
      <c r="E85" t="s">
        <v>28</v>
      </c>
      <c r="F85" t="s">
        <v>53</v>
      </c>
      <c r="G85" t="s">
        <v>30</v>
      </c>
      <c r="H85" t="s">
        <v>153</v>
      </c>
      <c r="I85" t="s">
        <v>117</v>
      </c>
      <c r="J85" t="s">
        <v>306</v>
      </c>
      <c r="K85" t="s">
        <v>207</v>
      </c>
      <c r="L85" t="s">
        <v>311</v>
      </c>
      <c r="M85" t="s">
        <v>312</v>
      </c>
      <c r="N85" s="3" t="s">
        <v>59</v>
      </c>
      <c r="O85" s="3">
        <v>17</v>
      </c>
      <c r="P85" s="3" t="s">
        <v>59</v>
      </c>
      <c r="Q85" s="3" t="s">
        <v>59</v>
      </c>
      <c r="R85" s="3" t="s">
        <v>59</v>
      </c>
      <c r="S85" s="3" t="s">
        <v>59</v>
      </c>
      <c r="T85" s="3" t="s">
        <v>59</v>
      </c>
      <c r="U85" s="3" t="s">
        <v>59</v>
      </c>
      <c r="V85" s="3" t="s">
        <v>59</v>
      </c>
      <c r="W85" s="3" t="s">
        <v>59</v>
      </c>
      <c r="X85" s="3" t="s">
        <v>59</v>
      </c>
    </row>
    <row r="86" spans="1:25" hidden="1" x14ac:dyDescent="0.3">
      <c r="A86">
        <v>255</v>
      </c>
      <c r="B86" t="s">
        <v>305</v>
      </c>
      <c r="C86" t="s">
        <v>47</v>
      </c>
      <c r="D86" t="s">
        <v>134</v>
      </c>
      <c r="E86" t="s">
        <v>28</v>
      </c>
      <c r="F86" t="s">
        <v>53</v>
      </c>
      <c r="G86" t="s">
        <v>30</v>
      </c>
      <c r="H86" t="s">
        <v>153</v>
      </c>
      <c r="I86" t="s">
        <v>117</v>
      </c>
      <c r="J86" t="s">
        <v>306</v>
      </c>
      <c r="K86" t="s">
        <v>207</v>
      </c>
      <c r="L86" t="s">
        <v>313</v>
      </c>
      <c r="M86" t="s">
        <v>314</v>
      </c>
      <c r="N86" s="3" t="s">
        <v>59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 t="s">
        <v>59</v>
      </c>
      <c r="U86" s="3" t="s">
        <v>59</v>
      </c>
      <c r="V86" s="3" t="s">
        <v>59</v>
      </c>
      <c r="W86" s="3" t="s">
        <v>59</v>
      </c>
      <c r="X86" s="3" t="s">
        <v>59</v>
      </c>
    </row>
    <row r="87" spans="1:25" hidden="1" x14ac:dyDescent="0.3">
      <c r="A87">
        <v>255</v>
      </c>
      <c r="B87" t="s">
        <v>305</v>
      </c>
      <c r="C87" t="s">
        <v>47</v>
      </c>
      <c r="D87" t="s">
        <v>134</v>
      </c>
      <c r="E87" t="s">
        <v>28</v>
      </c>
      <c r="F87" t="s">
        <v>53</v>
      </c>
      <c r="G87" t="s">
        <v>30</v>
      </c>
      <c r="H87" t="s">
        <v>153</v>
      </c>
      <c r="I87" t="s">
        <v>117</v>
      </c>
      <c r="J87" t="s">
        <v>306</v>
      </c>
      <c r="K87" t="s">
        <v>207</v>
      </c>
      <c r="L87" t="s">
        <v>315</v>
      </c>
      <c r="M87" t="s">
        <v>316</v>
      </c>
      <c r="N87" s="3" t="s">
        <v>59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 t="s">
        <v>59</v>
      </c>
      <c r="U87" s="3" t="s">
        <v>59</v>
      </c>
      <c r="V87" s="3" t="s">
        <v>59</v>
      </c>
      <c r="W87" s="3" t="s">
        <v>59</v>
      </c>
      <c r="X87" s="3" t="s">
        <v>59</v>
      </c>
    </row>
    <row r="88" spans="1:25" hidden="1" x14ac:dyDescent="0.3">
      <c r="A88">
        <v>255</v>
      </c>
      <c r="B88" t="s">
        <v>305</v>
      </c>
      <c r="C88" t="s">
        <v>47</v>
      </c>
      <c r="D88" t="s">
        <v>134</v>
      </c>
      <c r="E88" t="s">
        <v>28</v>
      </c>
      <c r="F88" t="s">
        <v>53</v>
      </c>
      <c r="G88" t="s">
        <v>30</v>
      </c>
      <c r="H88" t="s">
        <v>153</v>
      </c>
      <c r="I88" t="s">
        <v>117</v>
      </c>
      <c r="J88" t="s">
        <v>306</v>
      </c>
      <c r="K88" t="s">
        <v>207</v>
      </c>
      <c r="L88" t="s">
        <v>317</v>
      </c>
      <c r="M88" t="s">
        <v>318</v>
      </c>
      <c r="N88" s="3" t="s">
        <v>59</v>
      </c>
      <c r="O88" s="3" t="s">
        <v>59</v>
      </c>
      <c r="P88" s="3" t="s">
        <v>59</v>
      </c>
      <c r="Q88" s="3" t="s">
        <v>59</v>
      </c>
      <c r="R88" s="3" t="s">
        <v>59</v>
      </c>
      <c r="S88" s="3" t="s">
        <v>59</v>
      </c>
      <c r="T88" s="3" t="s">
        <v>59</v>
      </c>
      <c r="U88" s="3" t="s">
        <v>59</v>
      </c>
      <c r="V88" s="3" t="s">
        <v>59</v>
      </c>
      <c r="W88" s="3" t="s">
        <v>59</v>
      </c>
      <c r="X88" s="3" t="s">
        <v>59</v>
      </c>
    </row>
    <row r="89" spans="1:25" hidden="1" x14ac:dyDescent="0.3">
      <c r="A89" s="1">
        <v>272</v>
      </c>
      <c r="B89" s="1" t="s">
        <v>344</v>
      </c>
      <c r="C89" s="1" t="s">
        <v>47</v>
      </c>
      <c r="D89" s="1" t="s">
        <v>52</v>
      </c>
      <c r="E89" s="1" t="s">
        <v>28</v>
      </c>
      <c r="F89" s="1" t="s">
        <v>53</v>
      </c>
      <c r="G89" s="1" t="s">
        <v>41</v>
      </c>
      <c r="H89" s="1" t="s">
        <v>31</v>
      </c>
      <c r="I89" s="1">
        <v>0</v>
      </c>
      <c r="J89" s="1" t="s">
        <v>345</v>
      </c>
      <c r="K89" s="1" t="s">
        <v>33</v>
      </c>
      <c r="L89" s="1" t="s">
        <v>33</v>
      </c>
      <c r="M89" s="1" t="s">
        <v>34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3"/>
      <c r="T89" s="3"/>
      <c r="U89" s="3"/>
      <c r="V89" s="3"/>
      <c r="W89" s="3"/>
      <c r="X89" s="3"/>
    </row>
    <row r="90" spans="1:25" hidden="1" x14ac:dyDescent="0.3">
      <c r="A90" s="1">
        <v>288</v>
      </c>
      <c r="B90" s="1" t="s">
        <v>397</v>
      </c>
      <c r="C90" s="1" t="s">
        <v>26</v>
      </c>
      <c r="D90" s="1" t="s">
        <v>369</v>
      </c>
      <c r="E90" s="1" t="s">
        <v>28</v>
      </c>
      <c r="F90" s="1" t="s">
        <v>53</v>
      </c>
      <c r="G90" s="1" t="s">
        <v>30</v>
      </c>
      <c r="H90" s="1" t="s">
        <v>31</v>
      </c>
      <c r="I90" s="1">
        <v>100</v>
      </c>
      <c r="J90" s="1" t="s">
        <v>398</v>
      </c>
      <c r="K90" s="1" t="s">
        <v>33</v>
      </c>
      <c r="L90" s="1" t="s">
        <v>33</v>
      </c>
      <c r="M90" s="1" t="s">
        <v>34</v>
      </c>
      <c r="N90" s="4">
        <v>100</v>
      </c>
      <c r="O90" s="5">
        <v>185.71428571429001</v>
      </c>
      <c r="P90" s="5">
        <v>112.5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hidden="1" x14ac:dyDescent="0.3">
      <c r="A91" s="1">
        <v>318</v>
      </c>
      <c r="B91" s="1" t="s">
        <v>462</v>
      </c>
      <c r="C91" s="1" t="s">
        <v>26</v>
      </c>
      <c r="D91" s="1" t="s">
        <v>112</v>
      </c>
      <c r="E91" s="1" t="s">
        <v>44</v>
      </c>
      <c r="F91" s="1" t="s">
        <v>53</v>
      </c>
      <c r="G91" s="1" t="s">
        <v>30</v>
      </c>
      <c r="H91" s="1" t="s">
        <v>31</v>
      </c>
      <c r="I91" s="1">
        <v>85</v>
      </c>
      <c r="J91" s="1" t="s">
        <v>463</v>
      </c>
      <c r="K91" s="1" t="s">
        <v>33</v>
      </c>
      <c r="L91" s="1" t="s">
        <v>33</v>
      </c>
      <c r="M91" s="1" t="s">
        <v>34</v>
      </c>
      <c r="N91" s="4">
        <v>86.16</v>
      </c>
      <c r="O91" s="5">
        <v>90.28</v>
      </c>
      <c r="P91" s="5">
        <v>90.909090909090907</v>
      </c>
      <c r="Q91" s="3"/>
      <c r="R91" s="3"/>
      <c r="S91" s="3"/>
      <c r="T91" s="3"/>
      <c r="U91" s="3"/>
      <c r="V91" s="3"/>
      <c r="W91" s="3"/>
      <c r="X91" s="3"/>
    </row>
    <row r="92" spans="1:25" hidden="1" x14ac:dyDescent="0.3">
      <c r="A92" s="1">
        <v>326</v>
      </c>
      <c r="B92" s="1" t="s">
        <v>471</v>
      </c>
      <c r="C92" s="1" t="s">
        <v>26</v>
      </c>
      <c r="D92" s="1" t="s">
        <v>347</v>
      </c>
      <c r="E92" s="1" t="s">
        <v>116</v>
      </c>
      <c r="F92" s="1" t="s">
        <v>53</v>
      </c>
      <c r="G92" s="1" t="s">
        <v>30</v>
      </c>
      <c r="H92" s="1" t="s">
        <v>31</v>
      </c>
      <c r="I92" s="1" t="s">
        <v>117</v>
      </c>
      <c r="J92" s="1" t="s">
        <v>472</v>
      </c>
      <c r="K92" s="1" t="s">
        <v>33</v>
      </c>
      <c r="L92" s="1" t="s">
        <v>33</v>
      </c>
      <c r="M92" s="1" t="s">
        <v>34</v>
      </c>
      <c r="N92" s="8">
        <v>100</v>
      </c>
      <c r="O92" s="3" t="s">
        <v>59</v>
      </c>
      <c r="P92" s="8">
        <v>100</v>
      </c>
      <c r="Q92" s="3"/>
      <c r="R92" s="3"/>
      <c r="S92" s="3"/>
      <c r="T92" s="3"/>
      <c r="U92" s="3"/>
      <c r="V92" s="3"/>
      <c r="W92" s="3"/>
      <c r="X92" s="3"/>
    </row>
    <row r="93" spans="1:25" hidden="1" x14ac:dyDescent="0.3">
      <c r="A93" s="1">
        <v>334</v>
      </c>
      <c r="B93" s="1" t="s">
        <v>477</v>
      </c>
      <c r="C93" s="1" t="s">
        <v>26</v>
      </c>
      <c r="D93" s="1" t="s">
        <v>39</v>
      </c>
      <c r="E93" s="1" t="s">
        <v>28</v>
      </c>
      <c r="F93" s="1" t="s">
        <v>53</v>
      </c>
      <c r="G93" s="1" t="s">
        <v>30</v>
      </c>
      <c r="H93" s="1" t="s">
        <v>31</v>
      </c>
      <c r="I93" s="1">
        <v>89</v>
      </c>
      <c r="J93" s="1" t="s">
        <v>478</v>
      </c>
      <c r="K93" s="1" t="s">
        <v>33</v>
      </c>
      <c r="L93" s="1" t="s">
        <v>33</v>
      </c>
      <c r="M93" s="1" t="s">
        <v>34</v>
      </c>
      <c r="N93" s="4">
        <v>90.1</v>
      </c>
      <c r="O93" s="4">
        <v>88.84</v>
      </c>
      <c r="P93" s="4">
        <v>88.39</v>
      </c>
      <c r="Q93" s="9">
        <v>86</v>
      </c>
      <c r="R93" s="3"/>
      <c r="S93" s="3"/>
      <c r="T93" s="3"/>
      <c r="U93" s="3"/>
      <c r="V93" s="3"/>
      <c r="W93" s="3"/>
      <c r="X93" s="3"/>
    </row>
    <row r="94" spans="1:25" hidden="1" x14ac:dyDescent="0.3">
      <c r="A94" s="1">
        <v>336</v>
      </c>
      <c r="B94" s="1" t="s">
        <v>479</v>
      </c>
      <c r="C94" s="1" t="s">
        <v>26</v>
      </c>
      <c r="D94" s="1" t="s">
        <v>132</v>
      </c>
      <c r="E94" s="1" t="s">
        <v>28</v>
      </c>
      <c r="F94" s="1" t="s">
        <v>53</v>
      </c>
      <c r="G94" s="1" t="s">
        <v>41</v>
      </c>
      <c r="H94" s="1" t="s">
        <v>31</v>
      </c>
      <c r="I94" s="1"/>
      <c r="J94" s="1" t="s">
        <v>480</v>
      </c>
      <c r="K94" s="1" t="s">
        <v>33</v>
      </c>
      <c r="L94" s="1" t="s">
        <v>33</v>
      </c>
      <c r="M94" s="1" t="s">
        <v>34</v>
      </c>
      <c r="N94" s="9">
        <v>0.36</v>
      </c>
      <c r="O94" s="5">
        <v>0.79</v>
      </c>
      <c r="P94" s="4">
        <v>1.742198218602321</v>
      </c>
      <c r="Q94" s="3"/>
      <c r="R94" s="3"/>
      <c r="S94" s="3"/>
      <c r="T94" s="3"/>
      <c r="U94" s="3"/>
      <c r="V94" s="3"/>
      <c r="W94" s="3"/>
      <c r="X94" s="3"/>
    </row>
    <row r="95" spans="1:25" hidden="1" x14ac:dyDescent="0.3">
      <c r="A95" s="1">
        <v>339</v>
      </c>
      <c r="B95" s="1" t="s">
        <v>485</v>
      </c>
      <c r="C95" s="1" t="s">
        <v>47</v>
      </c>
      <c r="D95" s="1" t="s">
        <v>486</v>
      </c>
      <c r="E95" s="1" t="s">
        <v>44</v>
      </c>
      <c r="F95" s="1" t="s">
        <v>53</v>
      </c>
      <c r="G95" s="1" t="s">
        <v>30</v>
      </c>
      <c r="H95" s="1" t="s">
        <v>31</v>
      </c>
      <c r="I95" s="1">
        <v>30</v>
      </c>
      <c r="J95" s="1" t="s">
        <v>487</v>
      </c>
      <c r="K95" s="1" t="s">
        <v>33</v>
      </c>
      <c r="L95" s="1" t="s">
        <v>33</v>
      </c>
      <c r="M95" s="1" t="s">
        <v>34</v>
      </c>
      <c r="N95" s="5">
        <v>35.29</v>
      </c>
      <c r="O95" s="4">
        <v>30.3</v>
      </c>
      <c r="P95" s="6">
        <v>28.571428571428569</v>
      </c>
      <c r="Q95" s="3"/>
      <c r="R95" s="3"/>
      <c r="S95" s="3"/>
      <c r="T95" s="3"/>
      <c r="U95" s="3"/>
      <c r="V95" s="3"/>
      <c r="W95" s="3"/>
      <c r="X95" s="3"/>
    </row>
    <row r="96" spans="1:25" hidden="1" x14ac:dyDescent="0.3">
      <c r="A96" s="1">
        <v>346</v>
      </c>
      <c r="B96" s="1" t="s">
        <v>492</v>
      </c>
      <c r="C96" s="1" t="s">
        <v>26</v>
      </c>
      <c r="D96" s="1" t="s">
        <v>39</v>
      </c>
      <c r="E96" s="1" t="s">
        <v>28</v>
      </c>
      <c r="F96" s="1" t="s">
        <v>53</v>
      </c>
      <c r="G96" s="1" t="s">
        <v>30</v>
      </c>
      <c r="H96" s="1" t="s">
        <v>31</v>
      </c>
      <c r="I96" s="1">
        <v>85</v>
      </c>
      <c r="J96" s="1" t="s">
        <v>493</v>
      </c>
      <c r="K96" s="1" t="s">
        <v>33</v>
      </c>
      <c r="L96" s="1" t="s">
        <v>33</v>
      </c>
      <c r="M96" s="1" t="s">
        <v>34</v>
      </c>
      <c r="N96" s="5">
        <v>97.28</v>
      </c>
      <c r="O96" s="5">
        <v>91.88</v>
      </c>
      <c r="P96" s="9">
        <v>83.91608391608392</v>
      </c>
      <c r="Q96" s="3"/>
      <c r="R96" s="3"/>
      <c r="S96" s="3"/>
      <c r="T96" s="3"/>
      <c r="U96" s="3"/>
      <c r="V96" s="3"/>
      <c r="W96" s="3"/>
      <c r="X96" s="3"/>
    </row>
    <row r="97" spans="1:24" hidden="1" x14ac:dyDescent="0.3">
      <c r="A97" s="1">
        <v>355</v>
      </c>
      <c r="B97" s="1" t="s">
        <v>503</v>
      </c>
      <c r="C97" s="1" t="s">
        <v>47</v>
      </c>
      <c r="D97" s="1" t="s">
        <v>504</v>
      </c>
      <c r="E97" s="1" t="s">
        <v>40</v>
      </c>
      <c r="F97" s="1" t="s">
        <v>53</v>
      </c>
      <c r="G97" s="1" t="s">
        <v>30</v>
      </c>
      <c r="H97" s="1" t="s">
        <v>31</v>
      </c>
      <c r="I97" s="1"/>
      <c r="J97" s="1" t="s">
        <v>505</v>
      </c>
      <c r="K97" s="1" t="s">
        <v>33</v>
      </c>
      <c r="L97" s="1" t="s">
        <v>33</v>
      </c>
      <c r="M97" s="1" t="s">
        <v>34</v>
      </c>
      <c r="N97" s="9">
        <v>1.56</v>
      </c>
      <c r="O97" s="6">
        <v>1.69</v>
      </c>
      <c r="P97" s="5">
        <v>1.64916004403234</v>
      </c>
      <c r="Q97" s="3"/>
      <c r="R97" s="3"/>
      <c r="S97" s="3"/>
      <c r="T97" s="3"/>
      <c r="U97" s="3"/>
      <c r="V97" s="3"/>
      <c r="W97" s="3"/>
      <c r="X97" s="3"/>
    </row>
    <row r="98" spans="1:24" hidden="1" x14ac:dyDescent="0.3">
      <c r="A98" s="1">
        <v>361</v>
      </c>
      <c r="B98" s="1" t="s">
        <v>515</v>
      </c>
      <c r="C98" s="1" t="s">
        <v>47</v>
      </c>
      <c r="D98" s="1" t="s">
        <v>516</v>
      </c>
      <c r="E98" s="1" t="s">
        <v>28</v>
      </c>
      <c r="F98" s="1" t="s">
        <v>53</v>
      </c>
      <c r="G98" s="1" t="s">
        <v>30</v>
      </c>
      <c r="H98" s="1" t="s">
        <v>31</v>
      </c>
      <c r="I98" s="1">
        <v>4.5999999999999996</v>
      </c>
      <c r="J98" s="1" t="s">
        <v>517</v>
      </c>
      <c r="K98" s="1" t="s">
        <v>33</v>
      </c>
      <c r="L98" s="1" t="s">
        <v>33</v>
      </c>
      <c r="M98" s="1" t="s">
        <v>34</v>
      </c>
      <c r="N98" s="5">
        <v>4.78</v>
      </c>
      <c r="O98" s="3" t="s">
        <v>59</v>
      </c>
      <c r="P98" s="4">
        <v>4.5599999999999996</v>
      </c>
      <c r="Q98" s="3"/>
      <c r="R98" s="3"/>
      <c r="S98" s="3"/>
      <c r="T98" s="3"/>
      <c r="U98" s="3"/>
      <c r="V98" s="3"/>
      <c r="W98" s="3"/>
      <c r="X98" s="3"/>
    </row>
    <row r="99" spans="1:24" hidden="1" x14ac:dyDescent="0.3">
      <c r="A99" s="1">
        <v>366</v>
      </c>
      <c r="B99" s="1" t="s">
        <v>525</v>
      </c>
      <c r="C99" s="1" t="s">
        <v>26</v>
      </c>
      <c r="D99" s="1" t="s">
        <v>519</v>
      </c>
      <c r="E99" s="1" t="s">
        <v>28</v>
      </c>
      <c r="F99" s="1" t="s">
        <v>53</v>
      </c>
      <c r="G99" s="1" t="s">
        <v>30</v>
      </c>
      <c r="H99" s="1" t="s">
        <v>31</v>
      </c>
      <c r="I99" s="1">
        <v>100</v>
      </c>
      <c r="J99" s="1" t="s">
        <v>526</v>
      </c>
      <c r="K99" s="1" t="s">
        <v>33</v>
      </c>
      <c r="L99" s="1" t="s">
        <v>33</v>
      </c>
      <c r="M99" s="1" t="s">
        <v>34</v>
      </c>
      <c r="N99" s="4">
        <v>100</v>
      </c>
      <c r="O99" s="4">
        <v>100</v>
      </c>
      <c r="P99" s="4">
        <v>100</v>
      </c>
      <c r="Q99" s="3"/>
      <c r="R99" s="3"/>
      <c r="S99" s="3"/>
      <c r="T99" s="3"/>
      <c r="U99" s="3"/>
      <c r="V99" s="3"/>
      <c r="W99" s="3"/>
      <c r="X99" s="3"/>
    </row>
    <row r="100" spans="1:24" hidden="1" x14ac:dyDescent="0.3">
      <c r="A100" s="1">
        <v>367</v>
      </c>
      <c r="B100" s="1" t="s">
        <v>527</v>
      </c>
      <c r="C100" s="1" t="s">
        <v>47</v>
      </c>
      <c r="D100" s="1" t="s">
        <v>516</v>
      </c>
      <c r="E100" s="1" t="s">
        <v>28</v>
      </c>
      <c r="F100" s="1" t="s">
        <v>53</v>
      </c>
      <c r="G100" s="1" t="s">
        <v>30</v>
      </c>
      <c r="H100" s="1" t="s">
        <v>31</v>
      </c>
      <c r="I100" s="1">
        <v>5</v>
      </c>
      <c r="J100" s="1" t="s">
        <v>528</v>
      </c>
      <c r="K100" s="1" t="s">
        <v>33</v>
      </c>
      <c r="L100" s="1" t="s">
        <v>33</v>
      </c>
      <c r="M100" s="1" t="s">
        <v>34</v>
      </c>
      <c r="N100" s="7">
        <v>3.82</v>
      </c>
      <c r="O100" s="6">
        <v>4.96</v>
      </c>
      <c r="P100" s="5">
        <v>6.2497567052045619</v>
      </c>
      <c r="Q100" s="3"/>
      <c r="R100" s="3"/>
      <c r="S100" s="3"/>
      <c r="T100" s="3"/>
      <c r="U100" s="3"/>
      <c r="V100" s="3"/>
      <c r="W100" s="3"/>
      <c r="X100" s="3"/>
    </row>
    <row r="101" spans="1:24" hidden="1" x14ac:dyDescent="0.3">
      <c r="A101" s="1">
        <v>377</v>
      </c>
      <c r="B101" s="1" t="s">
        <v>546</v>
      </c>
      <c r="C101" s="1" t="s">
        <v>47</v>
      </c>
      <c r="D101" s="1" t="s">
        <v>152</v>
      </c>
      <c r="E101" s="1" t="s">
        <v>40</v>
      </c>
      <c r="F101" s="1" t="s">
        <v>53</v>
      </c>
      <c r="G101" s="1" t="s">
        <v>30</v>
      </c>
      <c r="H101" s="1" t="s">
        <v>31</v>
      </c>
      <c r="I101" s="1">
        <v>100</v>
      </c>
      <c r="J101" s="1" t="s">
        <v>547</v>
      </c>
      <c r="K101" s="1" t="s">
        <v>33</v>
      </c>
      <c r="L101" s="1" t="s">
        <v>33</v>
      </c>
      <c r="M101" s="1" t="s">
        <v>34</v>
      </c>
      <c r="N101" s="5">
        <v>107.11</v>
      </c>
      <c r="O101" s="5">
        <v>125.01</v>
      </c>
      <c r="P101" s="6">
        <v>60.77</v>
      </c>
      <c r="Q101" s="3"/>
      <c r="R101" s="3"/>
      <c r="S101" s="3"/>
      <c r="T101" s="3"/>
      <c r="U101" s="3"/>
      <c r="V101" s="3"/>
      <c r="W101" s="3"/>
      <c r="X101" s="3"/>
    </row>
    <row r="102" spans="1:24" hidden="1" x14ac:dyDescent="0.3">
      <c r="A102" s="1">
        <v>392</v>
      </c>
      <c r="B102" s="1" t="s">
        <v>599</v>
      </c>
      <c r="C102" s="1" t="s">
        <v>47</v>
      </c>
      <c r="D102" s="1" t="s">
        <v>600</v>
      </c>
      <c r="E102" s="1" t="s">
        <v>28</v>
      </c>
      <c r="F102" s="1" t="s">
        <v>53</v>
      </c>
      <c r="G102" s="1" t="s">
        <v>30</v>
      </c>
      <c r="H102" s="1" t="s">
        <v>31</v>
      </c>
      <c r="I102" s="1">
        <v>100</v>
      </c>
      <c r="J102" s="1" t="s">
        <v>601</v>
      </c>
      <c r="K102" s="1" t="s">
        <v>33</v>
      </c>
      <c r="L102" s="1" t="s">
        <v>33</v>
      </c>
      <c r="M102" s="1" t="s">
        <v>34</v>
      </c>
      <c r="N102" s="4">
        <v>100.8</v>
      </c>
      <c r="O102" s="5">
        <v>145.21</v>
      </c>
      <c r="P102" s="5">
        <v>147.38</v>
      </c>
      <c r="Q102" s="3"/>
      <c r="R102" s="3"/>
      <c r="S102" s="3"/>
      <c r="T102" s="3"/>
      <c r="U102" s="3"/>
      <c r="V102" s="3"/>
      <c r="W102" s="3"/>
      <c r="X102" s="3"/>
    </row>
    <row r="103" spans="1:24" hidden="1" x14ac:dyDescent="0.3">
      <c r="A103" s="1">
        <v>393</v>
      </c>
      <c r="B103" s="1" t="s">
        <v>602</v>
      </c>
      <c r="C103" s="1" t="s">
        <v>26</v>
      </c>
      <c r="D103" s="1" t="s">
        <v>600</v>
      </c>
      <c r="E103" s="1" t="s">
        <v>28</v>
      </c>
      <c r="F103" s="1" t="s">
        <v>53</v>
      </c>
      <c r="G103" s="1" t="s">
        <v>41</v>
      </c>
      <c r="H103" s="1" t="s">
        <v>31</v>
      </c>
      <c r="I103" s="1"/>
      <c r="J103" s="1" t="s">
        <v>603</v>
      </c>
      <c r="K103" s="1" t="s">
        <v>33</v>
      </c>
      <c r="L103" s="1" t="s">
        <v>33</v>
      </c>
      <c r="M103" s="1" t="s">
        <v>34</v>
      </c>
      <c r="N103" s="9">
        <v>12</v>
      </c>
      <c r="O103" s="4">
        <v>13</v>
      </c>
      <c r="P103" s="6">
        <v>15.45</v>
      </c>
      <c r="Q103" s="3"/>
      <c r="R103" s="3"/>
      <c r="S103" s="3"/>
      <c r="T103" s="3"/>
      <c r="U103" s="3"/>
      <c r="V103" s="3"/>
      <c r="W103" s="3"/>
      <c r="X103" s="3"/>
    </row>
    <row r="104" spans="1:24" hidden="1" x14ac:dyDescent="0.3">
      <c r="A104" s="1">
        <v>402</v>
      </c>
      <c r="B104" s="1" t="s">
        <v>622</v>
      </c>
      <c r="C104" s="1" t="s">
        <v>47</v>
      </c>
      <c r="D104" s="1" t="s">
        <v>620</v>
      </c>
      <c r="E104" s="1" t="s">
        <v>28</v>
      </c>
      <c r="F104" s="1" t="s">
        <v>53</v>
      </c>
      <c r="G104" s="1" t="s">
        <v>30</v>
      </c>
      <c r="H104" s="1" t="s">
        <v>31</v>
      </c>
      <c r="I104" s="1"/>
      <c r="J104" s="1" t="s">
        <v>623</v>
      </c>
      <c r="K104" s="1" t="s">
        <v>33</v>
      </c>
      <c r="L104" s="1" t="s">
        <v>33</v>
      </c>
      <c r="M104" s="1" t="s">
        <v>34</v>
      </c>
      <c r="N104" s="9">
        <v>22.73</v>
      </c>
      <c r="O104" s="4">
        <v>4.76</v>
      </c>
      <c r="P104" s="3" t="s">
        <v>59</v>
      </c>
      <c r="Q104" s="3"/>
      <c r="R104" s="3"/>
      <c r="S104" s="3"/>
      <c r="T104" s="3"/>
      <c r="U104" s="3"/>
      <c r="V104" s="3"/>
      <c r="W104" s="3"/>
      <c r="X104" s="3"/>
    </row>
    <row r="105" spans="1:24" hidden="1" x14ac:dyDescent="0.3">
      <c r="A105" s="1">
        <v>413</v>
      </c>
      <c r="B105" s="1" t="s">
        <v>640</v>
      </c>
      <c r="C105" s="1" t="s">
        <v>26</v>
      </c>
      <c r="D105" s="1" t="s">
        <v>605</v>
      </c>
      <c r="E105" s="1" t="s">
        <v>28</v>
      </c>
      <c r="F105" s="1" t="s">
        <v>53</v>
      </c>
      <c r="G105" s="1" t="s">
        <v>30</v>
      </c>
      <c r="H105" s="1" t="s">
        <v>31</v>
      </c>
      <c r="I105" s="1">
        <v>100</v>
      </c>
      <c r="J105" s="1" t="s">
        <v>641</v>
      </c>
      <c r="K105" s="1" t="s">
        <v>33</v>
      </c>
      <c r="L105" s="1" t="s">
        <v>33</v>
      </c>
      <c r="M105" s="1" t="s">
        <v>34</v>
      </c>
      <c r="N105" s="3"/>
      <c r="O105" s="4">
        <v>100</v>
      </c>
      <c r="P105" s="9">
        <v>100</v>
      </c>
      <c r="Q105" s="3"/>
      <c r="R105" s="3"/>
      <c r="S105" s="3"/>
      <c r="T105" s="3"/>
      <c r="U105" s="3"/>
      <c r="V105" s="3"/>
      <c r="W105" s="3"/>
      <c r="X105" s="3"/>
    </row>
    <row r="106" spans="1:24" hidden="1" x14ac:dyDescent="0.3">
      <c r="A106" s="1">
        <v>423</v>
      </c>
      <c r="B106" s="1" t="s">
        <v>753</v>
      </c>
      <c r="C106" s="1" t="s">
        <v>47</v>
      </c>
      <c r="D106" s="1" t="s">
        <v>751</v>
      </c>
      <c r="E106" s="1" t="s">
        <v>44</v>
      </c>
      <c r="F106" s="1" t="s">
        <v>53</v>
      </c>
      <c r="G106" s="1" t="s">
        <v>30</v>
      </c>
      <c r="H106" s="1" t="s">
        <v>31</v>
      </c>
      <c r="I106" s="1">
        <v>12.3</v>
      </c>
      <c r="J106" s="1" t="s">
        <v>754</v>
      </c>
      <c r="K106" s="1" t="s">
        <v>33</v>
      </c>
      <c r="L106" s="1" t="s">
        <v>33</v>
      </c>
      <c r="M106" s="1" t="s">
        <v>34</v>
      </c>
      <c r="N106" s="5">
        <v>15.1</v>
      </c>
      <c r="O106" s="5">
        <v>12.3</v>
      </c>
      <c r="P106" s="6">
        <v>7.9</v>
      </c>
      <c r="Q106" s="3"/>
      <c r="R106" s="3"/>
      <c r="S106" s="3"/>
      <c r="T106" s="3"/>
      <c r="U106" s="3"/>
      <c r="V106" s="3"/>
      <c r="W106" s="3"/>
      <c r="X106" s="3"/>
    </row>
    <row r="107" spans="1:24" hidden="1" x14ac:dyDescent="0.3">
      <c r="A107" s="1">
        <v>424</v>
      </c>
      <c r="B107" s="1" t="s">
        <v>755</v>
      </c>
      <c r="C107" s="1" t="s">
        <v>47</v>
      </c>
      <c r="D107" s="1" t="s">
        <v>751</v>
      </c>
      <c r="E107" s="1" t="s">
        <v>28</v>
      </c>
      <c r="F107" s="1" t="s">
        <v>53</v>
      </c>
      <c r="G107" s="1" t="s">
        <v>30</v>
      </c>
      <c r="H107" s="1" t="s">
        <v>31</v>
      </c>
      <c r="I107" s="1">
        <v>9</v>
      </c>
      <c r="J107" s="1" t="s">
        <v>756</v>
      </c>
      <c r="K107" s="1" t="s">
        <v>33</v>
      </c>
      <c r="L107" s="1" t="s">
        <v>33</v>
      </c>
      <c r="M107" s="1" t="s">
        <v>34</v>
      </c>
      <c r="N107" s="5">
        <v>11</v>
      </c>
      <c r="O107" s="5">
        <v>9</v>
      </c>
      <c r="P107" s="4">
        <v>6</v>
      </c>
      <c r="Q107" s="3"/>
      <c r="R107" s="3"/>
      <c r="S107" s="3"/>
      <c r="T107" s="3"/>
      <c r="U107" s="3"/>
      <c r="V107" s="3"/>
      <c r="W107" s="3"/>
      <c r="X107" s="3"/>
    </row>
    <row r="108" spans="1:24" hidden="1" x14ac:dyDescent="0.3">
      <c r="A108" s="1">
        <v>437</v>
      </c>
      <c r="B108" s="1" t="s">
        <v>809</v>
      </c>
      <c r="C108" s="1" t="s">
        <v>47</v>
      </c>
      <c r="D108" s="1" t="s">
        <v>810</v>
      </c>
      <c r="E108" s="1" t="s">
        <v>44</v>
      </c>
      <c r="F108" s="1" t="s">
        <v>53</v>
      </c>
      <c r="G108" s="1" t="s">
        <v>30</v>
      </c>
      <c r="H108" s="1" t="s">
        <v>31</v>
      </c>
      <c r="I108" s="1">
        <v>80</v>
      </c>
      <c r="J108" s="1" t="s">
        <v>811</v>
      </c>
      <c r="K108" s="1" t="s">
        <v>33</v>
      </c>
      <c r="L108" s="1" t="s">
        <v>33</v>
      </c>
      <c r="M108" s="1" t="s">
        <v>34</v>
      </c>
      <c r="N108" s="5">
        <v>99</v>
      </c>
      <c r="O108" s="4">
        <v>84</v>
      </c>
      <c r="P108" s="5">
        <v>96</v>
      </c>
      <c r="Q108" s="3"/>
      <c r="R108" s="3"/>
      <c r="S108" s="3"/>
      <c r="T108" s="3"/>
      <c r="U108" s="3"/>
      <c r="V108" s="3"/>
      <c r="W108" s="3"/>
      <c r="X108" s="3"/>
    </row>
    <row r="109" spans="1:24" hidden="1" x14ac:dyDescent="0.3">
      <c r="A109" s="1">
        <v>460</v>
      </c>
      <c r="B109" s="1" t="s">
        <v>837</v>
      </c>
      <c r="C109" s="1" t="s">
        <v>26</v>
      </c>
      <c r="D109" s="1" t="s">
        <v>39</v>
      </c>
      <c r="E109" s="1" t="s">
        <v>40</v>
      </c>
      <c r="F109" s="1" t="s">
        <v>53</v>
      </c>
      <c r="G109" s="1" t="s">
        <v>30</v>
      </c>
      <c r="H109" s="1" t="s">
        <v>31</v>
      </c>
      <c r="I109" s="1">
        <v>80</v>
      </c>
      <c r="J109" s="1" t="s">
        <v>838</v>
      </c>
      <c r="K109" s="1" t="s">
        <v>33</v>
      </c>
      <c r="L109" s="1" t="s">
        <v>33</v>
      </c>
      <c r="M109" s="1" t="s">
        <v>34</v>
      </c>
      <c r="N109" s="4">
        <v>84.18</v>
      </c>
      <c r="O109" s="5">
        <v>91.439688715953309</v>
      </c>
      <c r="P109" s="3"/>
      <c r="Q109" s="3"/>
      <c r="R109" s="3"/>
      <c r="S109" s="3"/>
      <c r="T109" s="3"/>
      <c r="U109" s="3"/>
      <c r="V109" s="3"/>
      <c r="W109" s="3"/>
      <c r="X109" s="3"/>
    </row>
    <row r="110" spans="1:24" hidden="1" x14ac:dyDescent="0.3">
      <c r="A110" s="1">
        <v>487</v>
      </c>
      <c r="B110" s="1" t="s">
        <v>933</v>
      </c>
      <c r="C110" s="1" t="s">
        <v>26</v>
      </c>
      <c r="D110" s="1" t="s">
        <v>336</v>
      </c>
      <c r="E110" s="1" t="s">
        <v>28</v>
      </c>
      <c r="F110" s="1" t="s">
        <v>53</v>
      </c>
      <c r="G110" s="1" t="s">
        <v>30</v>
      </c>
      <c r="H110" s="1" t="s">
        <v>31</v>
      </c>
      <c r="I110" s="1">
        <v>20</v>
      </c>
      <c r="J110" s="1" t="s">
        <v>934</v>
      </c>
      <c r="K110" s="1" t="s">
        <v>33</v>
      </c>
      <c r="L110" s="1" t="s">
        <v>33</v>
      </c>
      <c r="M110" s="1" t="s">
        <v>34</v>
      </c>
      <c r="N110" s="5">
        <v>58.86</v>
      </c>
      <c r="O110" s="9">
        <v>6.06</v>
      </c>
      <c r="P110" s="3"/>
      <c r="Q110" s="3"/>
      <c r="R110" s="3"/>
      <c r="S110" s="3"/>
      <c r="T110" s="3"/>
      <c r="U110" s="3"/>
      <c r="V110" s="3"/>
      <c r="W110" s="3"/>
      <c r="X110" s="3"/>
    </row>
    <row r="111" spans="1:24" hidden="1" x14ac:dyDescent="0.3">
      <c r="A111" s="1">
        <v>490</v>
      </c>
      <c r="B111" s="1" t="s">
        <v>937</v>
      </c>
      <c r="C111" s="1" t="s">
        <v>47</v>
      </c>
      <c r="D111" s="1" t="s">
        <v>303</v>
      </c>
      <c r="E111" s="1" t="s">
        <v>44</v>
      </c>
      <c r="F111" s="1" t="s">
        <v>53</v>
      </c>
      <c r="G111" s="1" t="s">
        <v>30</v>
      </c>
      <c r="H111" s="1" t="s">
        <v>31</v>
      </c>
      <c r="I111" s="1">
        <v>80</v>
      </c>
      <c r="J111" s="1" t="s">
        <v>938</v>
      </c>
      <c r="K111" s="1" t="s">
        <v>33</v>
      </c>
      <c r="L111" s="1" t="s">
        <v>33</v>
      </c>
      <c r="M111" s="1" t="s">
        <v>34</v>
      </c>
      <c r="N111" s="5">
        <v>100</v>
      </c>
      <c r="O111" s="5">
        <v>88</v>
      </c>
      <c r="P111" s="3"/>
      <c r="Q111" s="3"/>
      <c r="R111" s="3"/>
      <c r="S111" s="3"/>
      <c r="T111" s="3"/>
      <c r="U111" s="3"/>
      <c r="V111" s="3"/>
      <c r="W111" s="3"/>
      <c r="X111" s="3"/>
    </row>
    <row r="112" spans="1:24" hidden="1" x14ac:dyDescent="0.3">
      <c r="A112" s="1">
        <v>491</v>
      </c>
      <c r="B112" s="1" t="s">
        <v>939</v>
      </c>
      <c r="C112" s="1" t="s">
        <v>47</v>
      </c>
      <c r="D112" s="1" t="s">
        <v>273</v>
      </c>
      <c r="E112" s="1" t="s">
        <v>44</v>
      </c>
      <c r="F112" s="1" t="s">
        <v>53</v>
      </c>
      <c r="G112" s="1" t="s">
        <v>30</v>
      </c>
      <c r="H112" s="1" t="s">
        <v>31</v>
      </c>
      <c r="I112" s="1">
        <v>80</v>
      </c>
      <c r="J112" s="1" t="s">
        <v>940</v>
      </c>
      <c r="K112" s="1" t="s">
        <v>33</v>
      </c>
      <c r="L112" s="1" t="s">
        <v>33</v>
      </c>
      <c r="M112" s="1" t="s">
        <v>34</v>
      </c>
      <c r="N112" s="5">
        <v>100</v>
      </c>
      <c r="O112" s="5">
        <v>88</v>
      </c>
      <c r="P112" s="3"/>
      <c r="Q112" s="3"/>
      <c r="R112" s="3"/>
      <c r="S112" s="3"/>
      <c r="T112" s="3"/>
      <c r="U112" s="3"/>
      <c r="V112" s="3"/>
      <c r="W112" s="3"/>
      <c r="X112" s="3"/>
    </row>
    <row r="113" spans="1:24" hidden="1" x14ac:dyDescent="0.3">
      <c r="A113" s="1">
        <v>492</v>
      </c>
      <c r="B113" s="1" t="s">
        <v>941</v>
      </c>
      <c r="C113" s="1" t="s">
        <v>47</v>
      </c>
      <c r="D113" s="1" t="s">
        <v>298</v>
      </c>
      <c r="E113" s="1" t="s">
        <v>44</v>
      </c>
      <c r="F113" s="1" t="s">
        <v>53</v>
      </c>
      <c r="G113" s="1" t="s">
        <v>30</v>
      </c>
      <c r="H113" s="1" t="s">
        <v>31</v>
      </c>
      <c r="I113" s="1">
        <v>80</v>
      </c>
      <c r="J113" s="1" t="s">
        <v>942</v>
      </c>
      <c r="K113" s="1" t="s">
        <v>33</v>
      </c>
      <c r="L113" s="1" t="s">
        <v>33</v>
      </c>
      <c r="M113" s="1" t="s">
        <v>34</v>
      </c>
      <c r="N113" s="5">
        <v>95</v>
      </c>
      <c r="O113" s="4">
        <v>83</v>
      </c>
      <c r="P113" s="3"/>
      <c r="Q113" s="3"/>
      <c r="R113" s="3"/>
      <c r="S113" s="3"/>
      <c r="T113" s="3"/>
      <c r="U113" s="3"/>
      <c r="V113" s="3"/>
      <c r="W113" s="3"/>
      <c r="X113" s="3"/>
    </row>
    <row r="114" spans="1:24" hidden="1" x14ac:dyDescent="0.3">
      <c r="A114" s="1">
        <v>493</v>
      </c>
      <c r="B114" s="1" t="s">
        <v>943</v>
      </c>
      <c r="C114" s="1" t="s">
        <v>47</v>
      </c>
      <c r="D114" s="1" t="s">
        <v>327</v>
      </c>
      <c r="E114" s="1" t="s">
        <v>44</v>
      </c>
      <c r="F114" s="1" t="s">
        <v>53</v>
      </c>
      <c r="G114" s="1" t="s">
        <v>30</v>
      </c>
      <c r="H114" s="1" t="s">
        <v>31</v>
      </c>
      <c r="I114" s="1">
        <v>80</v>
      </c>
      <c r="J114" s="1" t="s">
        <v>944</v>
      </c>
      <c r="K114" s="1" t="s">
        <v>33</v>
      </c>
      <c r="L114" s="1" t="s">
        <v>33</v>
      </c>
      <c r="M114" s="1" t="s">
        <v>34</v>
      </c>
      <c r="N114" s="6">
        <v>77</v>
      </c>
      <c r="O114" s="4">
        <v>81</v>
      </c>
      <c r="P114" s="3"/>
      <c r="Q114" s="3"/>
      <c r="R114" s="3"/>
      <c r="S114" s="3"/>
      <c r="T114" s="3"/>
      <c r="U114" s="3"/>
      <c r="V114" s="3"/>
      <c r="W114" s="3"/>
      <c r="X114" s="3"/>
    </row>
    <row r="115" spans="1:24" hidden="1" x14ac:dyDescent="0.3">
      <c r="A115" s="1">
        <v>494</v>
      </c>
      <c r="B115" s="1" t="s">
        <v>945</v>
      </c>
      <c r="C115" s="1" t="s">
        <v>47</v>
      </c>
      <c r="D115" s="1" t="s">
        <v>429</v>
      </c>
      <c r="E115" s="1" t="s">
        <v>44</v>
      </c>
      <c r="F115" s="1" t="s">
        <v>53</v>
      </c>
      <c r="G115" s="1" t="s">
        <v>30</v>
      </c>
      <c r="H115" s="1" t="s">
        <v>31</v>
      </c>
      <c r="I115" s="1">
        <v>80</v>
      </c>
      <c r="J115" s="1" t="s">
        <v>946</v>
      </c>
      <c r="K115" s="1" t="s">
        <v>33</v>
      </c>
      <c r="L115" s="1" t="s">
        <v>33</v>
      </c>
      <c r="M115" s="1" t="s">
        <v>34</v>
      </c>
      <c r="N115" s="5">
        <v>93</v>
      </c>
      <c r="O115" s="5">
        <v>89</v>
      </c>
      <c r="P115" s="3"/>
      <c r="Q115" s="3"/>
      <c r="R115" s="3"/>
      <c r="S115" s="3"/>
      <c r="T115" s="3"/>
      <c r="U115" s="3"/>
      <c r="V115" s="3"/>
      <c r="W115" s="3"/>
      <c r="X115" s="3"/>
    </row>
    <row r="116" spans="1:24" x14ac:dyDescent="0.3">
      <c r="A116" s="1">
        <v>495</v>
      </c>
      <c r="B116" s="1" t="s">
        <v>947</v>
      </c>
      <c r="C116" s="1" t="s">
        <v>47</v>
      </c>
      <c r="D116" s="1" t="s">
        <v>495</v>
      </c>
      <c r="E116" s="1" t="s">
        <v>44</v>
      </c>
      <c r="F116" s="1" t="s">
        <v>53</v>
      </c>
      <c r="G116" s="1" t="s">
        <v>30</v>
      </c>
      <c r="H116" s="1" t="s">
        <v>31</v>
      </c>
      <c r="I116" s="1">
        <v>80</v>
      </c>
      <c r="J116" s="1" t="s">
        <v>948</v>
      </c>
      <c r="K116" s="1" t="s">
        <v>33</v>
      </c>
      <c r="L116" s="1" t="s">
        <v>33</v>
      </c>
      <c r="M116" s="1" t="s">
        <v>34</v>
      </c>
      <c r="N116" s="7">
        <v>63</v>
      </c>
      <c r="O116" s="5">
        <v>92</v>
      </c>
      <c r="P116" s="3"/>
      <c r="Q116" s="3"/>
      <c r="R116" s="3"/>
      <c r="S116" s="3"/>
      <c r="T116" s="3"/>
      <c r="U116" s="3"/>
      <c r="V116" s="3"/>
      <c r="W116" s="3"/>
      <c r="X116" s="3"/>
    </row>
    <row r="117" spans="1:24" hidden="1" x14ac:dyDescent="0.3">
      <c r="A117" s="1">
        <v>496</v>
      </c>
      <c r="B117" s="1" t="s">
        <v>949</v>
      </c>
      <c r="C117" s="1" t="s">
        <v>47</v>
      </c>
      <c r="D117" s="1" t="s">
        <v>152</v>
      </c>
      <c r="E117" s="1" t="s">
        <v>44</v>
      </c>
      <c r="F117" s="1" t="s">
        <v>53</v>
      </c>
      <c r="G117" s="1" t="s">
        <v>30</v>
      </c>
      <c r="H117" s="1" t="s">
        <v>31</v>
      </c>
      <c r="I117" s="1">
        <v>80</v>
      </c>
      <c r="J117" s="1" t="s">
        <v>950</v>
      </c>
      <c r="K117" s="1" t="s">
        <v>33</v>
      </c>
      <c r="L117" s="1" t="s">
        <v>33</v>
      </c>
      <c r="M117" s="1" t="s">
        <v>34</v>
      </c>
      <c r="N117" s="5">
        <v>100</v>
      </c>
      <c r="O117" s="5">
        <v>88</v>
      </c>
      <c r="P117" s="3"/>
      <c r="Q117" s="3"/>
      <c r="R117" s="3"/>
      <c r="S117" s="3"/>
      <c r="T117" s="3"/>
      <c r="U117" s="3"/>
      <c r="V117" s="3"/>
      <c r="W117" s="3"/>
      <c r="X117" s="3"/>
    </row>
    <row r="118" spans="1:24" hidden="1" x14ac:dyDescent="0.3">
      <c r="A118" s="1">
        <v>498</v>
      </c>
      <c r="B118" s="1" t="s">
        <v>951</v>
      </c>
      <c r="C118" s="1" t="s">
        <v>47</v>
      </c>
      <c r="D118" s="1" t="s">
        <v>336</v>
      </c>
      <c r="E118" s="1" t="s">
        <v>44</v>
      </c>
      <c r="F118" s="1" t="s">
        <v>53</v>
      </c>
      <c r="G118" s="1" t="s">
        <v>30</v>
      </c>
      <c r="H118" s="1" t="s">
        <v>31</v>
      </c>
      <c r="I118" s="1">
        <v>80</v>
      </c>
      <c r="J118" s="1" t="s">
        <v>952</v>
      </c>
      <c r="K118" s="1" t="s">
        <v>33</v>
      </c>
      <c r="L118" s="1" t="s">
        <v>33</v>
      </c>
      <c r="M118" s="1" t="s">
        <v>34</v>
      </c>
      <c r="N118" s="5">
        <v>95</v>
      </c>
      <c r="O118" s="5">
        <v>92</v>
      </c>
      <c r="P118" s="3"/>
      <c r="Q118" s="3"/>
      <c r="R118" s="3"/>
      <c r="S118" s="3"/>
      <c r="T118" s="3"/>
      <c r="U118" s="3"/>
      <c r="V118" s="3"/>
      <c r="W118" s="3"/>
      <c r="X118" s="3"/>
    </row>
    <row r="119" spans="1:24" hidden="1" x14ac:dyDescent="0.3">
      <c r="A119" s="1">
        <v>499</v>
      </c>
      <c r="B119" s="1" t="s">
        <v>953</v>
      </c>
      <c r="C119" s="1" t="s">
        <v>47</v>
      </c>
      <c r="D119" s="1" t="s">
        <v>954</v>
      </c>
      <c r="E119" s="1" t="s">
        <v>44</v>
      </c>
      <c r="F119" s="1" t="s">
        <v>53</v>
      </c>
      <c r="G119" s="1" t="s">
        <v>30</v>
      </c>
      <c r="H119" s="1" t="s">
        <v>31</v>
      </c>
      <c r="I119" s="1">
        <v>80</v>
      </c>
      <c r="J119" s="1" t="s">
        <v>955</v>
      </c>
      <c r="K119" s="1" t="s">
        <v>33</v>
      </c>
      <c r="L119" s="1" t="s">
        <v>33</v>
      </c>
      <c r="M119" s="1" t="s">
        <v>34</v>
      </c>
      <c r="N119" s="3"/>
      <c r="O119" s="5">
        <v>87</v>
      </c>
      <c r="P119" s="3"/>
      <c r="Q119" s="3"/>
      <c r="R119" s="3"/>
      <c r="S119" s="3"/>
      <c r="T119" s="3"/>
      <c r="U119" s="3"/>
      <c r="V119" s="3"/>
      <c r="W119" s="3"/>
      <c r="X119" s="3"/>
    </row>
    <row r="120" spans="1:24" hidden="1" x14ac:dyDescent="0.3">
      <c r="A120" s="1">
        <v>500</v>
      </c>
      <c r="B120" s="1" t="s">
        <v>956</v>
      </c>
      <c r="C120" s="1" t="s">
        <v>47</v>
      </c>
      <c r="D120" s="1" t="s">
        <v>444</v>
      </c>
      <c r="E120" s="1" t="s">
        <v>44</v>
      </c>
      <c r="F120" s="1" t="s">
        <v>53</v>
      </c>
      <c r="G120" s="1" t="s">
        <v>30</v>
      </c>
      <c r="H120" s="1" t="s">
        <v>31</v>
      </c>
      <c r="I120" s="1">
        <v>80</v>
      </c>
      <c r="J120" s="1" t="s">
        <v>957</v>
      </c>
      <c r="K120" s="1" t="s">
        <v>33</v>
      </c>
      <c r="L120" s="1" t="s">
        <v>33</v>
      </c>
      <c r="M120" s="1" t="s">
        <v>34</v>
      </c>
      <c r="N120" s="5">
        <v>100</v>
      </c>
      <c r="O120" s="5">
        <v>89</v>
      </c>
      <c r="P120" s="3"/>
      <c r="Q120" s="3"/>
      <c r="R120" s="3"/>
      <c r="S120" s="3"/>
      <c r="T120" s="3"/>
      <c r="U120" s="3"/>
      <c r="V120" s="3"/>
      <c r="W120" s="3"/>
      <c r="X120" s="3"/>
    </row>
    <row r="121" spans="1:24" hidden="1" x14ac:dyDescent="0.3">
      <c r="A121" s="1">
        <v>501</v>
      </c>
      <c r="B121" s="1" t="s">
        <v>958</v>
      </c>
      <c r="C121" s="1" t="s">
        <v>47</v>
      </c>
      <c r="D121" s="1" t="s">
        <v>896</v>
      </c>
      <c r="E121" s="1" t="s">
        <v>44</v>
      </c>
      <c r="F121" s="1" t="s">
        <v>53</v>
      </c>
      <c r="G121" s="1" t="s">
        <v>30</v>
      </c>
      <c r="H121" s="1" t="s">
        <v>31</v>
      </c>
      <c r="I121" s="1">
        <v>80</v>
      </c>
      <c r="J121" s="1" t="s">
        <v>959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88</v>
      </c>
      <c r="P121" s="3"/>
      <c r="Q121" s="3"/>
      <c r="R121" s="3"/>
      <c r="S121" s="3"/>
      <c r="T121" s="3"/>
      <c r="U121" s="3"/>
      <c r="V121" s="3"/>
      <c r="W121" s="3"/>
      <c r="X121" s="3"/>
    </row>
    <row r="122" spans="1:24" hidden="1" x14ac:dyDescent="0.3">
      <c r="A122" s="1">
        <v>502</v>
      </c>
      <c r="B122" s="1" t="s">
        <v>960</v>
      </c>
      <c r="C122" s="1" t="s">
        <v>47</v>
      </c>
      <c r="D122" s="1" t="s">
        <v>122</v>
      </c>
      <c r="E122" s="1" t="s">
        <v>44</v>
      </c>
      <c r="F122" s="1" t="s">
        <v>53</v>
      </c>
      <c r="G122" s="1" t="s">
        <v>30</v>
      </c>
      <c r="H122" s="1" t="s">
        <v>31</v>
      </c>
      <c r="I122" s="1">
        <v>80</v>
      </c>
      <c r="J122" s="1" t="s">
        <v>961</v>
      </c>
      <c r="K122" s="1" t="s">
        <v>33</v>
      </c>
      <c r="L122" s="1" t="s">
        <v>33</v>
      </c>
      <c r="M122" s="1" t="s">
        <v>34</v>
      </c>
      <c r="N122" s="5">
        <v>97</v>
      </c>
      <c r="O122" s="5">
        <v>90</v>
      </c>
      <c r="P122" s="3"/>
      <c r="Q122" s="3"/>
      <c r="R122" s="3"/>
      <c r="S122" s="3"/>
      <c r="T122" s="3"/>
      <c r="U122" s="3"/>
      <c r="V122" s="3"/>
      <c r="W122" s="3"/>
      <c r="X122" s="3"/>
    </row>
    <row r="123" spans="1:24" hidden="1" x14ac:dyDescent="0.3">
      <c r="A123" s="1">
        <v>503</v>
      </c>
      <c r="B123" s="1" t="s">
        <v>962</v>
      </c>
      <c r="C123" s="1" t="s">
        <v>47</v>
      </c>
      <c r="D123" s="1" t="s">
        <v>571</v>
      </c>
      <c r="E123" s="1" t="s">
        <v>44</v>
      </c>
      <c r="F123" s="1" t="s">
        <v>53</v>
      </c>
      <c r="G123" s="1" t="s">
        <v>30</v>
      </c>
      <c r="H123" s="1" t="s">
        <v>31</v>
      </c>
      <c r="I123" s="1">
        <v>80</v>
      </c>
      <c r="J123" s="1" t="s">
        <v>963</v>
      </c>
      <c r="K123" s="1" t="s">
        <v>33</v>
      </c>
      <c r="L123" s="1" t="s">
        <v>33</v>
      </c>
      <c r="M123" s="1" t="s">
        <v>34</v>
      </c>
      <c r="N123" s="5">
        <v>94</v>
      </c>
      <c r="O123" s="5">
        <v>86</v>
      </c>
      <c r="P123" s="3"/>
      <c r="Q123" s="3"/>
      <c r="R123" s="3"/>
      <c r="S123" s="3"/>
      <c r="T123" s="3"/>
      <c r="U123" s="3"/>
      <c r="V123" s="3"/>
      <c r="W123" s="3"/>
      <c r="X123" s="3"/>
    </row>
    <row r="124" spans="1:24" hidden="1" x14ac:dyDescent="0.3">
      <c r="A124" s="1">
        <v>504</v>
      </c>
      <c r="B124" s="1" t="s">
        <v>964</v>
      </c>
      <c r="C124" s="1" t="s">
        <v>47</v>
      </c>
      <c r="D124" s="1" t="s">
        <v>620</v>
      </c>
      <c r="E124" s="1" t="s">
        <v>44</v>
      </c>
      <c r="F124" s="1" t="s">
        <v>53</v>
      </c>
      <c r="G124" s="1" t="s">
        <v>30</v>
      </c>
      <c r="H124" s="1" t="s">
        <v>31</v>
      </c>
      <c r="I124" s="1">
        <v>80</v>
      </c>
      <c r="J124" s="1" t="s">
        <v>965</v>
      </c>
      <c r="K124" s="1" t="s">
        <v>33</v>
      </c>
      <c r="L124" s="1" t="s">
        <v>33</v>
      </c>
      <c r="M124" s="1" t="s">
        <v>34</v>
      </c>
      <c r="N124" s="5">
        <v>88</v>
      </c>
      <c r="O124" s="5">
        <v>88</v>
      </c>
      <c r="P124" s="3"/>
      <c r="Q124" s="3"/>
      <c r="R124" s="3"/>
      <c r="S124" s="3"/>
      <c r="T124" s="3"/>
      <c r="U124" s="3"/>
      <c r="V124" s="3"/>
      <c r="W124" s="3"/>
      <c r="X124" s="3"/>
    </row>
    <row r="125" spans="1:24" hidden="1" x14ac:dyDescent="0.3">
      <c r="A125" s="1">
        <v>505</v>
      </c>
      <c r="B125" s="1" t="s">
        <v>966</v>
      </c>
      <c r="C125" s="1" t="s">
        <v>47</v>
      </c>
      <c r="D125" s="1" t="s">
        <v>751</v>
      </c>
      <c r="E125" s="1" t="s">
        <v>44</v>
      </c>
      <c r="F125" s="1" t="s">
        <v>53</v>
      </c>
      <c r="G125" s="1" t="s">
        <v>30</v>
      </c>
      <c r="H125" s="1" t="s">
        <v>31</v>
      </c>
      <c r="I125" s="1">
        <v>80</v>
      </c>
      <c r="J125" s="1" t="s">
        <v>967</v>
      </c>
      <c r="K125" s="1" t="s">
        <v>33</v>
      </c>
      <c r="L125" s="1" t="s">
        <v>33</v>
      </c>
      <c r="M125" s="1" t="s">
        <v>34</v>
      </c>
      <c r="N125" s="5">
        <v>86</v>
      </c>
      <c r="O125" s="4">
        <v>85</v>
      </c>
      <c r="P125" s="3"/>
      <c r="Q125" s="3"/>
      <c r="R125" s="3"/>
      <c r="S125" s="3"/>
      <c r="T125" s="3"/>
      <c r="U125" s="3"/>
      <c r="V125" s="3"/>
      <c r="W125" s="3"/>
      <c r="X125" s="3"/>
    </row>
    <row r="126" spans="1:24" hidden="1" x14ac:dyDescent="0.3">
      <c r="A126" s="1">
        <v>508</v>
      </c>
      <c r="B126" s="1" t="s">
        <v>972</v>
      </c>
      <c r="C126" s="1" t="s">
        <v>47</v>
      </c>
      <c r="D126" s="1" t="s">
        <v>610</v>
      </c>
      <c r="E126" s="1" t="s">
        <v>44</v>
      </c>
      <c r="F126" s="1" t="s">
        <v>53</v>
      </c>
      <c r="G126" s="1" t="s">
        <v>30</v>
      </c>
      <c r="H126" s="1" t="s">
        <v>31</v>
      </c>
      <c r="I126" s="1">
        <v>80</v>
      </c>
      <c r="J126" s="1" t="s">
        <v>973</v>
      </c>
      <c r="K126" s="1" t="s">
        <v>33</v>
      </c>
      <c r="L126" s="1" t="s">
        <v>33</v>
      </c>
      <c r="M126" s="1" t="s">
        <v>34</v>
      </c>
      <c r="N126" s="5">
        <v>89</v>
      </c>
      <c r="O126" s="5">
        <v>88</v>
      </c>
      <c r="P126" s="3"/>
      <c r="Q126" s="3"/>
      <c r="R126" s="3"/>
      <c r="S126" s="3"/>
      <c r="T126" s="3"/>
      <c r="U126" s="3"/>
      <c r="V126" s="3"/>
      <c r="W126" s="3"/>
      <c r="X126" s="3"/>
    </row>
    <row r="127" spans="1:24" hidden="1" x14ac:dyDescent="0.3">
      <c r="A127" s="1">
        <v>522</v>
      </c>
      <c r="B127" s="1" t="s">
        <v>1047</v>
      </c>
      <c r="C127" s="1" t="s">
        <v>47</v>
      </c>
      <c r="D127" s="1" t="s">
        <v>896</v>
      </c>
      <c r="E127" s="1" t="s">
        <v>28</v>
      </c>
      <c r="F127" s="1" t="s">
        <v>53</v>
      </c>
      <c r="G127" s="1" t="s">
        <v>30</v>
      </c>
      <c r="H127" s="1" t="s">
        <v>31</v>
      </c>
      <c r="I127" s="1" t="s">
        <v>117</v>
      </c>
      <c r="J127" s="1" t="s">
        <v>1048</v>
      </c>
      <c r="K127" s="1" t="s">
        <v>33</v>
      </c>
      <c r="L127" s="1" t="s">
        <v>33</v>
      </c>
      <c r="M127" s="1" t="s">
        <v>34</v>
      </c>
      <c r="N127" s="8">
        <v>100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hidden="1" x14ac:dyDescent="0.3">
      <c r="A128" s="1">
        <v>527</v>
      </c>
      <c r="B128" s="1" t="s">
        <v>1070</v>
      </c>
      <c r="C128" s="1" t="s">
        <v>47</v>
      </c>
      <c r="D128" s="1" t="s">
        <v>303</v>
      </c>
      <c r="E128" s="1" t="s">
        <v>28</v>
      </c>
      <c r="F128" s="1" t="s">
        <v>53</v>
      </c>
      <c r="G128" s="1" t="s">
        <v>30</v>
      </c>
      <c r="H128" s="1" t="s">
        <v>31</v>
      </c>
      <c r="I128" s="1">
        <v>100</v>
      </c>
      <c r="J128" s="1" t="s">
        <v>1071</v>
      </c>
      <c r="K128" s="1" t="s">
        <v>33</v>
      </c>
      <c r="L128" s="1" t="s">
        <v>33</v>
      </c>
      <c r="M128" s="1" t="s">
        <v>34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5" hidden="1" x14ac:dyDescent="0.3">
      <c r="A129" s="1">
        <v>528</v>
      </c>
      <c r="B129" s="1" t="s">
        <v>1072</v>
      </c>
      <c r="C129" s="1" t="s">
        <v>47</v>
      </c>
      <c r="D129" s="1" t="s">
        <v>303</v>
      </c>
      <c r="E129" s="1" t="s">
        <v>28</v>
      </c>
      <c r="F129" s="1" t="s">
        <v>53</v>
      </c>
      <c r="G129" s="1" t="s">
        <v>30</v>
      </c>
      <c r="H129" s="1" t="s">
        <v>31</v>
      </c>
      <c r="I129" s="1">
        <v>100</v>
      </c>
      <c r="J129" s="1" t="s">
        <v>1073</v>
      </c>
      <c r="K129" s="1" t="s">
        <v>33</v>
      </c>
      <c r="L129" s="1" t="s">
        <v>33</v>
      </c>
      <c r="M129" s="1" t="s">
        <v>34</v>
      </c>
      <c r="N129" s="5">
        <v>173.92055267703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idden="1" x14ac:dyDescent="0.3">
      <c r="A130" s="1">
        <v>541</v>
      </c>
      <c r="B130" s="1" t="s">
        <v>1122</v>
      </c>
      <c r="C130" s="1" t="s">
        <v>26</v>
      </c>
      <c r="D130" s="1" t="s">
        <v>1123</v>
      </c>
      <c r="E130" s="1" t="s">
        <v>28</v>
      </c>
      <c r="F130" s="1" t="s">
        <v>53</v>
      </c>
      <c r="G130" s="1" t="s">
        <v>30</v>
      </c>
      <c r="H130" s="1" t="s">
        <v>31</v>
      </c>
      <c r="I130" s="1">
        <v>4</v>
      </c>
      <c r="J130" s="1" t="s">
        <v>1124</v>
      </c>
      <c r="K130" s="1" t="s">
        <v>33</v>
      </c>
      <c r="L130" s="1" t="s">
        <v>33</v>
      </c>
      <c r="M130" s="1" t="s">
        <v>34</v>
      </c>
      <c r="N130" s="5">
        <v>6.99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5" hidden="1" x14ac:dyDescent="0.3">
      <c r="A131" s="1">
        <v>542</v>
      </c>
      <c r="B131" s="1" t="s">
        <v>1125</v>
      </c>
      <c r="C131" s="1" t="s">
        <v>47</v>
      </c>
      <c r="D131" s="1" t="s">
        <v>1123</v>
      </c>
      <c r="E131" s="1" t="s">
        <v>116</v>
      </c>
      <c r="F131" s="1" t="s">
        <v>53</v>
      </c>
      <c r="G131" s="1" t="s">
        <v>30</v>
      </c>
      <c r="H131" s="1" t="s">
        <v>153</v>
      </c>
      <c r="I131" s="1" t="s">
        <v>117</v>
      </c>
      <c r="J131" s="1" t="s">
        <v>1126</v>
      </c>
      <c r="K131" s="1" t="s">
        <v>186</v>
      </c>
      <c r="L131" s="1" t="s">
        <v>34</v>
      </c>
      <c r="M131" s="1" t="s">
        <v>34</v>
      </c>
      <c r="N131" s="8">
        <v>81.239999999999995</v>
      </c>
      <c r="O131" s="3" t="s">
        <v>59</v>
      </c>
      <c r="P131" s="3" t="s">
        <v>59</v>
      </c>
      <c r="Q131" s="3" t="s">
        <v>59</v>
      </c>
      <c r="R131" s="3" t="s">
        <v>59</v>
      </c>
      <c r="S131" s="3" t="s">
        <v>59</v>
      </c>
      <c r="T131" s="3"/>
      <c r="U131" s="3"/>
      <c r="V131" s="3"/>
      <c r="W131" s="3"/>
      <c r="X131" s="3"/>
    </row>
    <row r="132" spans="1:25" hidden="1" x14ac:dyDescent="0.3">
      <c r="A132">
        <v>542</v>
      </c>
      <c r="B132" t="s">
        <v>1125</v>
      </c>
      <c r="C132" t="s">
        <v>47</v>
      </c>
      <c r="D132" t="s">
        <v>1123</v>
      </c>
      <c r="E132" t="s">
        <v>116</v>
      </c>
      <c r="F132" t="s">
        <v>53</v>
      </c>
      <c r="G132" t="s">
        <v>30</v>
      </c>
      <c r="H132" t="s">
        <v>153</v>
      </c>
      <c r="I132" t="s">
        <v>117</v>
      </c>
      <c r="J132" t="s">
        <v>1126</v>
      </c>
      <c r="K132" t="s">
        <v>186</v>
      </c>
      <c r="L132" t="s">
        <v>1127</v>
      </c>
      <c r="M132" t="s">
        <v>1128</v>
      </c>
      <c r="N132" s="3">
        <v>80.02</v>
      </c>
      <c r="O132" s="3" t="s">
        <v>59</v>
      </c>
      <c r="P132" s="3" t="s">
        <v>59</v>
      </c>
      <c r="Q132" s="3" t="s">
        <v>59</v>
      </c>
      <c r="R132" s="3" t="s">
        <v>59</v>
      </c>
      <c r="S132" s="3" t="s">
        <v>59</v>
      </c>
      <c r="T132" s="3" t="s">
        <v>59</v>
      </c>
      <c r="U132" s="3" t="s">
        <v>59</v>
      </c>
      <c r="V132" s="3" t="s">
        <v>59</v>
      </c>
      <c r="W132" s="3" t="s">
        <v>59</v>
      </c>
      <c r="X132" s="3" t="s">
        <v>59</v>
      </c>
    </row>
    <row r="133" spans="1:25" hidden="1" x14ac:dyDescent="0.3">
      <c r="A133">
        <v>542</v>
      </c>
      <c r="B133" t="s">
        <v>1125</v>
      </c>
      <c r="C133" t="s">
        <v>47</v>
      </c>
      <c r="D133" t="s">
        <v>1123</v>
      </c>
      <c r="E133" t="s">
        <v>116</v>
      </c>
      <c r="F133" t="s">
        <v>53</v>
      </c>
      <c r="G133" t="s">
        <v>30</v>
      </c>
      <c r="H133" t="s">
        <v>153</v>
      </c>
      <c r="I133" t="s">
        <v>117</v>
      </c>
      <c r="J133" t="s">
        <v>1126</v>
      </c>
      <c r="K133" t="s">
        <v>186</v>
      </c>
      <c r="L133" t="s">
        <v>1129</v>
      </c>
      <c r="M133" t="s">
        <v>1130</v>
      </c>
      <c r="N133" s="3">
        <v>80.680000000000007</v>
      </c>
      <c r="O133" s="3" t="s">
        <v>59</v>
      </c>
      <c r="P133" s="3" t="s">
        <v>59</v>
      </c>
      <c r="Q133" s="3" t="s">
        <v>59</v>
      </c>
      <c r="R133" s="3" t="s">
        <v>59</v>
      </c>
      <c r="S133" s="3" t="s">
        <v>59</v>
      </c>
      <c r="T133" s="3" t="s">
        <v>59</v>
      </c>
      <c r="U133" s="3" t="s">
        <v>59</v>
      </c>
      <c r="V133" s="3" t="s">
        <v>59</v>
      </c>
      <c r="W133" s="3" t="s">
        <v>59</v>
      </c>
      <c r="X133" s="3" t="s">
        <v>59</v>
      </c>
    </row>
    <row r="134" spans="1:25" hidden="1" x14ac:dyDescent="0.3">
      <c r="A134">
        <v>542</v>
      </c>
      <c r="B134" t="s">
        <v>1125</v>
      </c>
      <c r="C134" t="s">
        <v>47</v>
      </c>
      <c r="D134" t="s">
        <v>1123</v>
      </c>
      <c r="E134" t="s">
        <v>116</v>
      </c>
      <c r="F134" t="s">
        <v>53</v>
      </c>
      <c r="G134" t="s">
        <v>30</v>
      </c>
      <c r="H134" t="s">
        <v>153</v>
      </c>
      <c r="I134" t="s">
        <v>117</v>
      </c>
      <c r="J134" t="s">
        <v>1126</v>
      </c>
      <c r="K134" t="s">
        <v>186</v>
      </c>
      <c r="L134" t="s">
        <v>1131</v>
      </c>
      <c r="M134" t="s">
        <v>1132</v>
      </c>
      <c r="N134" s="3">
        <v>83.84</v>
      </c>
      <c r="O134" s="3" t="s">
        <v>59</v>
      </c>
      <c r="P134" s="3" t="s">
        <v>59</v>
      </c>
      <c r="Q134" s="3" t="s">
        <v>59</v>
      </c>
      <c r="R134" s="3" t="s">
        <v>59</v>
      </c>
      <c r="S134" s="3" t="s">
        <v>59</v>
      </c>
      <c r="T134" s="3" t="s">
        <v>59</v>
      </c>
      <c r="U134" s="3" t="s">
        <v>59</v>
      </c>
      <c r="V134" s="3" t="s">
        <v>59</v>
      </c>
      <c r="W134" s="3" t="s">
        <v>59</v>
      </c>
      <c r="X134" s="3" t="s">
        <v>59</v>
      </c>
    </row>
    <row r="135" spans="1:25" hidden="1" x14ac:dyDescent="0.3">
      <c r="A135">
        <v>542</v>
      </c>
      <c r="B135" t="s">
        <v>1125</v>
      </c>
      <c r="C135" t="s">
        <v>47</v>
      </c>
      <c r="D135" t="s">
        <v>1123</v>
      </c>
      <c r="E135" t="s">
        <v>116</v>
      </c>
      <c r="F135" t="s">
        <v>53</v>
      </c>
      <c r="G135" t="s">
        <v>30</v>
      </c>
      <c r="H135" t="s">
        <v>153</v>
      </c>
      <c r="I135" t="s">
        <v>117</v>
      </c>
      <c r="J135" t="s">
        <v>1126</v>
      </c>
      <c r="K135" t="s">
        <v>186</v>
      </c>
      <c r="L135" t="s">
        <v>1133</v>
      </c>
      <c r="M135" t="s">
        <v>1134</v>
      </c>
      <c r="N135" s="3">
        <v>80.41</v>
      </c>
      <c r="O135" s="3" t="s">
        <v>59</v>
      </c>
      <c r="P135" s="3" t="s">
        <v>59</v>
      </c>
      <c r="Q135" s="3" t="s">
        <v>59</v>
      </c>
      <c r="R135" s="3" t="s">
        <v>59</v>
      </c>
      <c r="S135" s="3" t="s">
        <v>59</v>
      </c>
      <c r="T135" s="3" t="s">
        <v>59</v>
      </c>
      <c r="U135" s="3" t="s">
        <v>59</v>
      </c>
      <c r="V135" s="3" t="s">
        <v>59</v>
      </c>
      <c r="W135" s="3" t="s">
        <v>59</v>
      </c>
      <c r="X135" s="3" t="s">
        <v>59</v>
      </c>
    </row>
    <row r="136" spans="1:25" hidden="1" x14ac:dyDescent="0.3">
      <c r="A136" s="1">
        <v>546</v>
      </c>
      <c r="B136" s="1" t="s">
        <v>1151</v>
      </c>
      <c r="C136" s="1" t="s">
        <v>47</v>
      </c>
      <c r="D136" s="1" t="s">
        <v>1123</v>
      </c>
      <c r="E136" s="1" t="s">
        <v>28</v>
      </c>
      <c r="F136" s="1" t="s">
        <v>53</v>
      </c>
      <c r="G136" s="1" t="s">
        <v>30</v>
      </c>
      <c r="H136" s="1" t="s">
        <v>153</v>
      </c>
      <c r="I136" s="1"/>
      <c r="J136" s="1" t="s">
        <v>1152</v>
      </c>
      <c r="K136" s="1" t="s">
        <v>186</v>
      </c>
      <c r="L136" s="1" t="s">
        <v>34</v>
      </c>
      <c r="M136" s="1" t="s">
        <v>34</v>
      </c>
      <c r="N136" s="9">
        <v>37.79</v>
      </c>
      <c r="O136" s="3" t="s">
        <v>59</v>
      </c>
      <c r="P136" s="3" t="s">
        <v>59</v>
      </c>
      <c r="Q136" s="3" t="s">
        <v>59</v>
      </c>
      <c r="R136" s="3" t="s">
        <v>59</v>
      </c>
      <c r="S136" s="3" t="s">
        <v>59</v>
      </c>
      <c r="T136" s="3"/>
      <c r="U136" s="3"/>
      <c r="V136" s="3"/>
      <c r="W136" s="3"/>
      <c r="X136" s="3"/>
    </row>
    <row r="137" spans="1:25" hidden="1" x14ac:dyDescent="0.3">
      <c r="A137">
        <v>546</v>
      </c>
      <c r="B137" t="s">
        <v>1151</v>
      </c>
      <c r="C137" t="s">
        <v>47</v>
      </c>
      <c r="D137" t="s">
        <v>1123</v>
      </c>
      <c r="E137" t="s">
        <v>28</v>
      </c>
      <c r="F137" t="s">
        <v>53</v>
      </c>
      <c r="G137" t="s">
        <v>30</v>
      </c>
      <c r="H137" t="s">
        <v>153</v>
      </c>
      <c r="J137" t="s">
        <v>1152</v>
      </c>
      <c r="K137" t="s">
        <v>186</v>
      </c>
      <c r="L137" t="s">
        <v>1127</v>
      </c>
      <c r="M137" t="s">
        <v>1128</v>
      </c>
      <c r="N137" s="3">
        <v>98.79</v>
      </c>
      <c r="O137" s="3" t="s">
        <v>59</v>
      </c>
      <c r="P137" s="3" t="s">
        <v>59</v>
      </c>
      <c r="Q137" s="3" t="s">
        <v>59</v>
      </c>
      <c r="R137" s="3" t="s">
        <v>59</v>
      </c>
      <c r="S137" s="3" t="s">
        <v>59</v>
      </c>
      <c r="T137" s="3" t="s">
        <v>59</v>
      </c>
      <c r="U137" s="3" t="s">
        <v>59</v>
      </c>
      <c r="V137" s="3" t="s">
        <v>59</v>
      </c>
      <c r="W137" s="3" t="s">
        <v>59</v>
      </c>
      <c r="X137" s="3" t="s">
        <v>59</v>
      </c>
    </row>
    <row r="138" spans="1:25" hidden="1" x14ac:dyDescent="0.3">
      <c r="A138">
        <v>546</v>
      </c>
      <c r="B138" t="s">
        <v>1151</v>
      </c>
      <c r="C138" t="s">
        <v>47</v>
      </c>
      <c r="D138" t="s">
        <v>1123</v>
      </c>
      <c r="E138" t="s">
        <v>28</v>
      </c>
      <c r="F138" t="s">
        <v>53</v>
      </c>
      <c r="G138" t="s">
        <v>30</v>
      </c>
      <c r="H138" t="s">
        <v>153</v>
      </c>
      <c r="J138" t="s">
        <v>1152</v>
      </c>
      <c r="K138" t="s">
        <v>186</v>
      </c>
      <c r="L138" t="s">
        <v>1129</v>
      </c>
      <c r="M138" t="s">
        <v>1130</v>
      </c>
      <c r="N138" s="3">
        <v>8.59</v>
      </c>
      <c r="O138" s="3" t="s">
        <v>59</v>
      </c>
      <c r="P138" s="3" t="s">
        <v>59</v>
      </c>
      <c r="Q138" s="3" t="s">
        <v>59</v>
      </c>
      <c r="R138" s="3" t="s">
        <v>59</v>
      </c>
      <c r="S138" s="3" t="s">
        <v>59</v>
      </c>
      <c r="T138" s="3" t="s">
        <v>59</v>
      </c>
      <c r="U138" s="3" t="s">
        <v>59</v>
      </c>
      <c r="V138" s="3" t="s">
        <v>59</v>
      </c>
      <c r="W138" s="3" t="s">
        <v>59</v>
      </c>
      <c r="X138" s="3" t="s">
        <v>59</v>
      </c>
    </row>
    <row r="139" spans="1:25" hidden="1" x14ac:dyDescent="0.3">
      <c r="A139">
        <v>546</v>
      </c>
      <c r="B139" t="s">
        <v>1151</v>
      </c>
      <c r="C139" t="s">
        <v>47</v>
      </c>
      <c r="D139" t="s">
        <v>1123</v>
      </c>
      <c r="E139" t="s">
        <v>28</v>
      </c>
      <c r="F139" t="s">
        <v>53</v>
      </c>
      <c r="G139" t="s">
        <v>30</v>
      </c>
      <c r="H139" t="s">
        <v>153</v>
      </c>
      <c r="J139" t="s">
        <v>1152</v>
      </c>
      <c r="K139" t="s">
        <v>186</v>
      </c>
      <c r="L139" t="s">
        <v>1131</v>
      </c>
      <c r="M139" t="s">
        <v>1132</v>
      </c>
      <c r="N139" s="3">
        <v>6</v>
      </c>
      <c r="O139" s="3" t="s">
        <v>59</v>
      </c>
      <c r="P139" s="3" t="s">
        <v>59</v>
      </c>
      <c r="Q139" s="3" t="s">
        <v>59</v>
      </c>
      <c r="R139" s="3" t="s">
        <v>59</v>
      </c>
      <c r="S139" s="3" t="s">
        <v>59</v>
      </c>
      <c r="T139" s="3" t="s">
        <v>59</v>
      </c>
      <c r="U139" s="3" t="s">
        <v>59</v>
      </c>
      <c r="V139" s="3" t="s">
        <v>59</v>
      </c>
      <c r="W139" s="3" t="s">
        <v>59</v>
      </c>
      <c r="X139" s="3" t="s">
        <v>59</v>
      </c>
    </row>
    <row r="140" spans="1:25" hidden="1" x14ac:dyDescent="0.3">
      <c r="A140" s="1">
        <v>547</v>
      </c>
      <c r="B140" s="1" t="s">
        <v>1153</v>
      </c>
      <c r="C140" s="1" t="s">
        <v>47</v>
      </c>
      <c r="D140" s="1" t="s">
        <v>1123</v>
      </c>
      <c r="E140" s="1" t="s">
        <v>44</v>
      </c>
      <c r="F140" s="1" t="s">
        <v>53</v>
      </c>
      <c r="G140" s="1" t="s">
        <v>30</v>
      </c>
      <c r="H140" s="1" t="s">
        <v>31</v>
      </c>
      <c r="I140" s="1" t="s">
        <v>117</v>
      </c>
      <c r="J140" s="1" t="s">
        <v>1154</v>
      </c>
      <c r="K140" s="1" t="s">
        <v>33</v>
      </c>
      <c r="L140" s="1" t="s">
        <v>33</v>
      </c>
      <c r="M140" s="1" t="s">
        <v>34</v>
      </c>
      <c r="N140" s="8">
        <v>92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5" hidden="1" x14ac:dyDescent="0.3">
      <c r="A141" s="1">
        <v>552</v>
      </c>
      <c r="B141" s="1" t="s">
        <v>1159</v>
      </c>
      <c r="C141" s="1" t="s">
        <v>47</v>
      </c>
      <c r="D141" s="1" t="s">
        <v>516</v>
      </c>
      <c r="E141" s="1" t="s">
        <v>44</v>
      </c>
      <c r="F141" s="1" t="s">
        <v>53</v>
      </c>
      <c r="G141" s="1" t="s">
        <v>30</v>
      </c>
      <c r="H141" s="1" t="s">
        <v>31</v>
      </c>
      <c r="I141" s="1">
        <v>80</v>
      </c>
      <c r="J141" s="1" t="s">
        <v>1160</v>
      </c>
      <c r="K141" s="1" t="s">
        <v>33</v>
      </c>
      <c r="L141" s="1" t="s">
        <v>33</v>
      </c>
      <c r="M141" s="1" t="s">
        <v>34</v>
      </c>
      <c r="N141" s="5">
        <v>92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5" hidden="1" x14ac:dyDescent="0.3">
      <c r="A142" s="1">
        <v>553</v>
      </c>
      <c r="B142" s="1" t="s">
        <v>1161</v>
      </c>
      <c r="C142" s="1" t="s">
        <v>47</v>
      </c>
      <c r="D142" s="1" t="s">
        <v>549</v>
      </c>
      <c r="E142" s="1" t="s">
        <v>44</v>
      </c>
      <c r="F142" s="1" t="s">
        <v>53</v>
      </c>
      <c r="G142" s="1" t="s">
        <v>30</v>
      </c>
      <c r="H142" s="1" t="s">
        <v>31</v>
      </c>
      <c r="I142" s="1">
        <v>80</v>
      </c>
      <c r="J142" s="1" t="s">
        <v>1162</v>
      </c>
      <c r="K142" s="1" t="s">
        <v>33</v>
      </c>
      <c r="L142" s="1" t="s">
        <v>33</v>
      </c>
      <c r="M142" s="1" t="s">
        <v>34</v>
      </c>
      <c r="N142" s="4">
        <v>83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5" hidden="1" x14ac:dyDescent="0.3">
      <c r="A143" s="1">
        <v>556</v>
      </c>
      <c r="B143" s="1" t="s">
        <v>1167</v>
      </c>
      <c r="C143" s="1" t="s">
        <v>47</v>
      </c>
      <c r="D143" s="1" t="s">
        <v>39</v>
      </c>
      <c r="E143" s="1" t="s">
        <v>28</v>
      </c>
      <c r="F143" s="1" t="s">
        <v>53</v>
      </c>
      <c r="G143" s="1" t="s">
        <v>30</v>
      </c>
      <c r="H143" s="1" t="s">
        <v>31</v>
      </c>
      <c r="I143" s="1" t="s">
        <v>117</v>
      </c>
      <c r="J143" s="1" t="s">
        <v>1168</v>
      </c>
      <c r="K143" s="1" t="s">
        <v>33</v>
      </c>
      <c r="L143" s="1" t="s">
        <v>33</v>
      </c>
      <c r="M143" s="1" t="s">
        <v>34</v>
      </c>
      <c r="N143" s="8">
        <v>113.75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5" hidden="1" x14ac:dyDescent="0.3">
      <c r="A144" s="1">
        <v>290</v>
      </c>
      <c r="B144" s="1" t="s">
        <v>399</v>
      </c>
      <c r="C144" s="1" t="s">
        <v>47</v>
      </c>
      <c r="D144" s="1" t="s">
        <v>400</v>
      </c>
      <c r="E144" s="1" t="s">
        <v>28</v>
      </c>
      <c r="F144" s="1" t="s">
        <v>401</v>
      </c>
      <c r="G144" s="1" t="s">
        <v>30</v>
      </c>
      <c r="H144" s="1" t="s">
        <v>153</v>
      </c>
      <c r="I144" s="1"/>
      <c r="J144" s="1" t="s">
        <v>402</v>
      </c>
      <c r="K144" s="1" t="s">
        <v>155</v>
      </c>
      <c r="L144" s="1" t="s">
        <v>34</v>
      </c>
      <c r="M144" s="1" t="s">
        <v>34</v>
      </c>
      <c r="N144" s="6">
        <v>88.89</v>
      </c>
      <c r="O144" s="3"/>
      <c r="P144" s="5">
        <v>100</v>
      </c>
      <c r="Q144" s="5">
        <v>100</v>
      </c>
      <c r="R144" s="5">
        <v>100</v>
      </c>
      <c r="S144" s="6">
        <v>80</v>
      </c>
      <c r="T144" s="5">
        <v>100</v>
      </c>
      <c r="U144" s="5">
        <v>100</v>
      </c>
      <c r="V144" s="5">
        <v>100</v>
      </c>
      <c r="W144" s="5">
        <v>100</v>
      </c>
      <c r="X144" s="5">
        <v>100</v>
      </c>
      <c r="Y144" s="4">
        <v>91.666666666666657</v>
      </c>
    </row>
    <row r="145" spans="1:25" hidden="1" x14ac:dyDescent="0.3">
      <c r="A145">
        <v>290</v>
      </c>
      <c r="B145" t="s">
        <v>399</v>
      </c>
      <c r="C145" t="s">
        <v>47</v>
      </c>
      <c r="D145" t="s">
        <v>400</v>
      </c>
      <c r="E145" t="s">
        <v>28</v>
      </c>
      <c r="F145" t="s">
        <v>401</v>
      </c>
      <c r="G145" t="s">
        <v>30</v>
      </c>
      <c r="H145" t="s">
        <v>153</v>
      </c>
      <c r="J145" t="s">
        <v>402</v>
      </c>
      <c r="K145" t="s">
        <v>155</v>
      </c>
      <c r="L145" t="s">
        <v>403</v>
      </c>
      <c r="M145" t="s">
        <v>404</v>
      </c>
      <c r="N145" s="3">
        <v>100</v>
      </c>
      <c r="O145" s="3" t="s">
        <v>59</v>
      </c>
      <c r="P145" s="3">
        <v>100</v>
      </c>
      <c r="Q145" s="3">
        <v>100</v>
      </c>
      <c r="R145" s="3" t="s">
        <v>59</v>
      </c>
      <c r="S145" s="3" t="s">
        <v>59</v>
      </c>
      <c r="T145" s="3" t="s">
        <v>59</v>
      </c>
      <c r="U145" s="3" t="s">
        <v>59</v>
      </c>
      <c r="V145" s="3" t="s">
        <v>59</v>
      </c>
      <c r="W145" s="3" t="s">
        <v>59</v>
      </c>
      <c r="X145" s="3" t="s">
        <v>59</v>
      </c>
      <c r="Y145" s="3" t="s">
        <v>59</v>
      </c>
    </row>
    <row r="146" spans="1:25" hidden="1" x14ac:dyDescent="0.3">
      <c r="A146">
        <v>290</v>
      </c>
      <c r="B146" t="s">
        <v>399</v>
      </c>
      <c r="C146" t="s">
        <v>47</v>
      </c>
      <c r="D146" t="s">
        <v>400</v>
      </c>
      <c r="E146" t="s">
        <v>28</v>
      </c>
      <c r="F146" t="s">
        <v>401</v>
      </c>
      <c r="G146" t="s">
        <v>30</v>
      </c>
      <c r="H146" t="s">
        <v>153</v>
      </c>
      <c r="J146" t="s">
        <v>402</v>
      </c>
      <c r="K146" t="s">
        <v>155</v>
      </c>
      <c r="L146" t="s">
        <v>405</v>
      </c>
      <c r="M146" t="s">
        <v>406</v>
      </c>
      <c r="N146" s="3">
        <v>100</v>
      </c>
      <c r="O146" s="3">
        <v>50</v>
      </c>
      <c r="P146" s="3" t="s">
        <v>59</v>
      </c>
      <c r="Q146" s="3">
        <v>100</v>
      </c>
      <c r="R146" s="3">
        <v>100</v>
      </c>
      <c r="S146" s="3">
        <v>80</v>
      </c>
      <c r="T146" s="3" t="s">
        <v>59</v>
      </c>
      <c r="U146" s="3">
        <v>100</v>
      </c>
      <c r="V146" s="3">
        <v>100</v>
      </c>
      <c r="W146" s="3">
        <v>100</v>
      </c>
      <c r="X146" s="3">
        <v>100</v>
      </c>
      <c r="Y146" s="3">
        <v>100</v>
      </c>
    </row>
    <row r="147" spans="1:25" hidden="1" x14ac:dyDescent="0.3">
      <c r="A147">
        <v>290</v>
      </c>
      <c r="B147" t="s">
        <v>399</v>
      </c>
      <c r="C147" t="s">
        <v>47</v>
      </c>
      <c r="D147" t="s">
        <v>400</v>
      </c>
      <c r="E147" t="s">
        <v>28</v>
      </c>
      <c r="F147" t="s">
        <v>401</v>
      </c>
      <c r="G147" t="s">
        <v>30</v>
      </c>
      <c r="H147" t="s">
        <v>153</v>
      </c>
      <c r="J147" t="s">
        <v>402</v>
      </c>
      <c r="K147" t="s">
        <v>155</v>
      </c>
      <c r="L147" t="s">
        <v>407</v>
      </c>
      <c r="M147" t="s">
        <v>408</v>
      </c>
      <c r="N147" s="3" t="s">
        <v>59</v>
      </c>
      <c r="O147" s="3">
        <v>100</v>
      </c>
      <c r="P147" s="3">
        <v>100</v>
      </c>
      <c r="Q147" s="3" t="s">
        <v>59</v>
      </c>
      <c r="R147" s="3" t="s">
        <v>59</v>
      </c>
      <c r="S147" s="3" t="s">
        <v>59</v>
      </c>
      <c r="T147" s="3">
        <v>100</v>
      </c>
      <c r="U147" s="3">
        <v>100</v>
      </c>
      <c r="V147" s="3" t="s">
        <v>59</v>
      </c>
      <c r="W147" s="3" t="s">
        <v>59</v>
      </c>
      <c r="X147" s="3" t="s">
        <v>59</v>
      </c>
      <c r="Y147" s="3" t="s">
        <v>59</v>
      </c>
    </row>
    <row r="148" spans="1:25" hidden="1" x14ac:dyDescent="0.3">
      <c r="A148">
        <v>290</v>
      </c>
      <c r="B148" t="s">
        <v>399</v>
      </c>
      <c r="C148" t="s">
        <v>47</v>
      </c>
      <c r="D148" t="s">
        <v>400</v>
      </c>
      <c r="E148" t="s">
        <v>28</v>
      </c>
      <c r="F148" t="s">
        <v>401</v>
      </c>
      <c r="G148" t="s">
        <v>30</v>
      </c>
      <c r="H148" t="s">
        <v>153</v>
      </c>
      <c r="J148" t="s">
        <v>402</v>
      </c>
      <c r="K148" t="s">
        <v>155</v>
      </c>
      <c r="L148" t="s">
        <v>409</v>
      </c>
      <c r="M148" t="s">
        <v>410</v>
      </c>
      <c r="N148" s="3" t="s">
        <v>59</v>
      </c>
      <c r="O148" s="3">
        <v>100</v>
      </c>
      <c r="P148" s="3" t="s">
        <v>59</v>
      </c>
      <c r="Q148" s="3" t="s">
        <v>59</v>
      </c>
      <c r="R148" s="3" t="s">
        <v>59</v>
      </c>
      <c r="S148" s="3" t="s">
        <v>59</v>
      </c>
      <c r="T148" s="3" t="s">
        <v>59</v>
      </c>
      <c r="U148" s="3" t="s">
        <v>59</v>
      </c>
      <c r="V148" s="3">
        <v>100</v>
      </c>
      <c r="W148" s="3">
        <v>100</v>
      </c>
      <c r="X148" s="3">
        <v>100</v>
      </c>
      <c r="Y148" s="3">
        <v>80</v>
      </c>
    </row>
    <row r="149" spans="1:25" hidden="1" x14ac:dyDescent="0.3">
      <c r="A149">
        <v>290</v>
      </c>
      <c r="B149" t="s">
        <v>399</v>
      </c>
      <c r="C149" t="s">
        <v>47</v>
      </c>
      <c r="D149" t="s">
        <v>400</v>
      </c>
      <c r="E149" t="s">
        <v>28</v>
      </c>
      <c r="F149" t="s">
        <v>401</v>
      </c>
      <c r="G149" t="s">
        <v>30</v>
      </c>
      <c r="H149" t="s">
        <v>153</v>
      </c>
      <c r="J149" t="s">
        <v>402</v>
      </c>
      <c r="K149" t="s">
        <v>155</v>
      </c>
      <c r="L149" t="s">
        <v>411</v>
      </c>
      <c r="M149" t="s">
        <v>412</v>
      </c>
      <c r="N149" s="3" t="s">
        <v>59</v>
      </c>
      <c r="O149" s="3" t="s">
        <v>59</v>
      </c>
      <c r="P149" s="3" t="s">
        <v>59</v>
      </c>
      <c r="Q149" s="3" t="s">
        <v>59</v>
      </c>
      <c r="R149" s="3" t="s">
        <v>59</v>
      </c>
      <c r="S149" s="3" t="s">
        <v>59</v>
      </c>
      <c r="T149" s="3" t="s">
        <v>59</v>
      </c>
      <c r="U149" s="3" t="s">
        <v>59</v>
      </c>
      <c r="V149" s="3" t="s">
        <v>59</v>
      </c>
      <c r="W149" s="3" t="s">
        <v>59</v>
      </c>
      <c r="X149" s="3">
        <v>100</v>
      </c>
      <c r="Y149" s="3">
        <v>100</v>
      </c>
    </row>
    <row r="150" spans="1:25" hidden="1" x14ac:dyDescent="0.3">
      <c r="A150">
        <v>290</v>
      </c>
      <c r="B150" t="s">
        <v>399</v>
      </c>
      <c r="C150" t="s">
        <v>47</v>
      </c>
      <c r="D150" t="s">
        <v>400</v>
      </c>
      <c r="E150" t="s">
        <v>28</v>
      </c>
      <c r="F150" t="s">
        <v>401</v>
      </c>
      <c r="G150" t="s">
        <v>30</v>
      </c>
      <c r="H150" t="s">
        <v>153</v>
      </c>
      <c r="J150" t="s">
        <v>402</v>
      </c>
      <c r="K150" t="s">
        <v>155</v>
      </c>
      <c r="L150" t="s">
        <v>413</v>
      </c>
      <c r="M150" t="s">
        <v>414</v>
      </c>
      <c r="N150" s="3" t="s">
        <v>59</v>
      </c>
      <c r="O150" s="3" t="s">
        <v>59</v>
      </c>
      <c r="P150" s="3" t="s">
        <v>59</v>
      </c>
      <c r="Q150" s="3" t="s">
        <v>59</v>
      </c>
      <c r="R150" s="3" t="s">
        <v>59</v>
      </c>
      <c r="S150" s="3" t="s">
        <v>59</v>
      </c>
      <c r="T150" s="3" t="s">
        <v>59</v>
      </c>
      <c r="U150" s="3" t="s">
        <v>59</v>
      </c>
      <c r="V150" s="3" t="s">
        <v>59</v>
      </c>
      <c r="W150" s="3" t="s">
        <v>59</v>
      </c>
      <c r="X150" s="3" t="s">
        <v>59</v>
      </c>
      <c r="Y150" s="3" t="s">
        <v>59</v>
      </c>
    </row>
    <row r="151" spans="1:25" hidden="1" x14ac:dyDescent="0.3">
      <c r="A151">
        <v>290</v>
      </c>
      <c r="B151" t="s">
        <v>399</v>
      </c>
      <c r="C151" t="s">
        <v>47</v>
      </c>
      <c r="D151" t="s">
        <v>400</v>
      </c>
      <c r="E151" t="s">
        <v>28</v>
      </c>
      <c r="F151" t="s">
        <v>401</v>
      </c>
      <c r="G151" t="s">
        <v>30</v>
      </c>
      <c r="H151" t="s">
        <v>153</v>
      </c>
      <c r="J151" t="s">
        <v>402</v>
      </c>
      <c r="K151" t="s">
        <v>155</v>
      </c>
      <c r="L151" t="s">
        <v>415</v>
      </c>
      <c r="M151" t="s">
        <v>416</v>
      </c>
      <c r="N151" s="3" t="s">
        <v>59</v>
      </c>
      <c r="O151" s="3" t="s">
        <v>59</v>
      </c>
      <c r="P151" s="3" t="s">
        <v>59</v>
      </c>
      <c r="Q151" s="3" t="s">
        <v>59</v>
      </c>
      <c r="R151" s="3" t="s">
        <v>59</v>
      </c>
      <c r="S151" s="3" t="s">
        <v>59</v>
      </c>
      <c r="T151" s="3" t="s">
        <v>59</v>
      </c>
      <c r="U151" s="3" t="s">
        <v>59</v>
      </c>
      <c r="V151" s="3" t="s">
        <v>59</v>
      </c>
      <c r="W151" s="3" t="s">
        <v>59</v>
      </c>
      <c r="X151" s="3" t="s">
        <v>59</v>
      </c>
      <c r="Y151" s="3" t="s">
        <v>59</v>
      </c>
    </row>
    <row r="152" spans="1:25" hidden="1" x14ac:dyDescent="0.3">
      <c r="A152">
        <v>290</v>
      </c>
      <c r="B152" t="s">
        <v>399</v>
      </c>
      <c r="C152" t="s">
        <v>47</v>
      </c>
      <c r="D152" t="s">
        <v>400</v>
      </c>
      <c r="E152" t="s">
        <v>28</v>
      </c>
      <c r="F152" t="s">
        <v>401</v>
      </c>
      <c r="G152" t="s">
        <v>30</v>
      </c>
      <c r="H152" t="s">
        <v>153</v>
      </c>
      <c r="J152" t="s">
        <v>402</v>
      </c>
      <c r="K152" t="s">
        <v>155</v>
      </c>
      <c r="L152" t="s">
        <v>417</v>
      </c>
      <c r="M152" t="s">
        <v>418</v>
      </c>
      <c r="N152" s="3" t="s">
        <v>59</v>
      </c>
      <c r="O152" s="3" t="s">
        <v>59</v>
      </c>
      <c r="P152" s="3" t="s">
        <v>59</v>
      </c>
      <c r="Q152" s="3" t="s">
        <v>59</v>
      </c>
      <c r="R152" s="3" t="s">
        <v>59</v>
      </c>
      <c r="S152" s="3" t="s">
        <v>59</v>
      </c>
      <c r="T152" s="3" t="s">
        <v>59</v>
      </c>
      <c r="U152" s="3" t="s">
        <v>59</v>
      </c>
      <c r="V152" s="3" t="s">
        <v>59</v>
      </c>
      <c r="W152" s="3" t="s">
        <v>59</v>
      </c>
      <c r="X152" s="3" t="s">
        <v>59</v>
      </c>
      <c r="Y152" s="3" t="s">
        <v>59</v>
      </c>
    </row>
    <row r="153" spans="1:25" hidden="1" x14ac:dyDescent="0.3">
      <c r="A153">
        <v>290</v>
      </c>
      <c r="B153" t="s">
        <v>399</v>
      </c>
      <c r="C153" t="s">
        <v>47</v>
      </c>
      <c r="D153" t="s">
        <v>400</v>
      </c>
      <c r="E153" t="s">
        <v>28</v>
      </c>
      <c r="F153" t="s">
        <v>401</v>
      </c>
      <c r="G153" t="s">
        <v>30</v>
      </c>
      <c r="H153" t="s">
        <v>153</v>
      </c>
      <c r="J153" t="s">
        <v>402</v>
      </c>
      <c r="K153" t="s">
        <v>155</v>
      </c>
      <c r="L153" t="s">
        <v>419</v>
      </c>
      <c r="M153" t="s">
        <v>420</v>
      </c>
      <c r="N153" s="3">
        <v>0</v>
      </c>
      <c r="O153" s="3" t="s">
        <v>59</v>
      </c>
      <c r="P153" s="3" t="s">
        <v>59</v>
      </c>
      <c r="Q153" s="3">
        <v>100</v>
      </c>
      <c r="R153" s="3" t="s">
        <v>59</v>
      </c>
      <c r="S153" s="3" t="s">
        <v>59</v>
      </c>
      <c r="T153" s="3">
        <v>100</v>
      </c>
      <c r="U153" s="3">
        <v>100</v>
      </c>
      <c r="V153" s="3">
        <v>100</v>
      </c>
      <c r="W153" s="3" t="s">
        <v>59</v>
      </c>
      <c r="X153" s="3">
        <v>100</v>
      </c>
      <c r="Y153" s="3">
        <v>100</v>
      </c>
    </row>
    <row r="154" spans="1:25" hidden="1" x14ac:dyDescent="0.3">
      <c r="A154" s="1">
        <v>77</v>
      </c>
      <c r="B154" s="1" t="s">
        <v>46</v>
      </c>
      <c r="C154" s="1" t="s">
        <v>47</v>
      </c>
      <c r="D154" s="1" t="s">
        <v>48</v>
      </c>
      <c r="E154" s="1" t="s">
        <v>44</v>
      </c>
      <c r="F154" s="1" t="s">
        <v>49</v>
      </c>
      <c r="G154" s="1" t="s">
        <v>30</v>
      </c>
      <c r="H154" s="1" t="s">
        <v>31</v>
      </c>
      <c r="I154" s="1">
        <v>97</v>
      </c>
      <c r="J154" s="1" t="s">
        <v>50</v>
      </c>
      <c r="K154" s="1" t="s">
        <v>33</v>
      </c>
      <c r="L154" s="1" t="s">
        <v>33</v>
      </c>
      <c r="M154" s="1" t="s">
        <v>34</v>
      </c>
      <c r="N154" s="6">
        <v>95.4</v>
      </c>
      <c r="O154" s="6">
        <v>93.4</v>
      </c>
      <c r="P154" s="4">
        <v>97.7</v>
      </c>
      <c r="Q154" s="4">
        <v>98.4</v>
      </c>
      <c r="R154" s="4">
        <v>97.1</v>
      </c>
      <c r="S154" s="4">
        <v>98.7</v>
      </c>
      <c r="T154" s="6">
        <v>96.2</v>
      </c>
      <c r="U154" s="4">
        <v>97</v>
      </c>
      <c r="V154" s="6">
        <v>87.7</v>
      </c>
      <c r="W154" s="4">
        <v>97</v>
      </c>
      <c r="X154" s="6">
        <v>94</v>
      </c>
      <c r="Y154" s="6">
        <v>96</v>
      </c>
    </row>
    <row r="155" spans="1:25" hidden="1" x14ac:dyDescent="0.3">
      <c r="A155" s="1">
        <v>121</v>
      </c>
      <c r="B155" s="1" t="s">
        <v>98</v>
      </c>
      <c r="C155" s="1" t="s">
        <v>26</v>
      </c>
      <c r="D155" s="1" t="s">
        <v>39</v>
      </c>
      <c r="E155" s="1" t="s">
        <v>40</v>
      </c>
      <c r="F155" s="1" t="s">
        <v>49</v>
      </c>
      <c r="G155" s="1" t="s">
        <v>41</v>
      </c>
      <c r="H155" s="1" t="s">
        <v>31</v>
      </c>
      <c r="I155" s="1">
        <v>100</v>
      </c>
      <c r="J155" s="1" t="s">
        <v>99</v>
      </c>
      <c r="K155" s="1" t="s">
        <v>33</v>
      </c>
      <c r="L155" s="1" t="s">
        <v>33</v>
      </c>
      <c r="M155" s="1" t="s">
        <v>34</v>
      </c>
      <c r="N155" s="6">
        <v>104.92</v>
      </c>
      <c r="O155" s="6">
        <v>106.53</v>
      </c>
      <c r="P155" s="6">
        <v>107.27</v>
      </c>
      <c r="Q155" s="4">
        <v>99.29</v>
      </c>
      <c r="R155" s="4">
        <v>100.68</v>
      </c>
      <c r="S155" s="6">
        <v>112.24</v>
      </c>
      <c r="T155" s="6">
        <v>110.06</v>
      </c>
      <c r="U155" s="6">
        <v>114.9</v>
      </c>
      <c r="V155" s="6">
        <v>106</v>
      </c>
      <c r="W155" s="6">
        <v>106.77</v>
      </c>
      <c r="X155" s="6">
        <v>107.66</v>
      </c>
      <c r="Y155" s="4">
        <v>99.18</v>
      </c>
    </row>
    <row r="156" spans="1:25" hidden="1" x14ac:dyDescent="0.3">
      <c r="A156" s="1">
        <v>122</v>
      </c>
      <c r="B156" s="1" t="s">
        <v>100</v>
      </c>
      <c r="C156" s="1" t="s">
        <v>26</v>
      </c>
      <c r="D156" s="1" t="s">
        <v>96</v>
      </c>
      <c r="E156" s="1" t="s">
        <v>28</v>
      </c>
      <c r="F156" s="1" t="s">
        <v>49</v>
      </c>
      <c r="G156" s="1" t="s">
        <v>30</v>
      </c>
      <c r="H156" s="1" t="s">
        <v>31</v>
      </c>
      <c r="I156" s="1">
        <v>80</v>
      </c>
      <c r="J156" s="1" t="s">
        <v>101</v>
      </c>
      <c r="K156" s="1" t="s">
        <v>33</v>
      </c>
      <c r="L156" s="1" t="s">
        <v>33</v>
      </c>
      <c r="M156" s="1" t="s">
        <v>34</v>
      </c>
      <c r="N156" s="5">
        <v>100</v>
      </c>
      <c r="O156" s="4">
        <v>90</v>
      </c>
      <c r="P156" s="6">
        <v>88.89</v>
      </c>
      <c r="Q156" s="6">
        <v>81.819999999999993</v>
      </c>
      <c r="R156" s="7">
        <v>57.89</v>
      </c>
      <c r="S156" s="6">
        <v>78.260000000000005</v>
      </c>
      <c r="T156" s="7">
        <v>43.48</v>
      </c>
      <c r="U156" s="3" t="s">
        <v>59</v>
      </c>
      <c r="V156" s="5">
        <v>100</v>
      </c>
      <c r="W156" s="3" t="s">
        <v>59</v>
      </c>
      <c r="X156" s="5">
        <v>100</v>
      </c>
      <c r="Y156" s="3" t="s">
        <v>59</v>
      </c>
    </row>
    <row r="157" spans="1:25" hidden="1" x14ac:dyDescent="0.3">
      <c r="A157" s="1">
        <v>124</v>
      </c>
      <c r="B157" s="1" t="s">
        <v>102</v>
      </c>
      <c r="C157" s="1" t="s">
        <v>26</v>
      </c>
      <c r="D157" s="1" t="s">
        <v>52</v>
      </c>
      <c r="E157" s="1" t="s">
        <v>28</v>
      </c>
      <c r="F157" s="1" t="s">
        <v>49</v>
      </c>
      <c r="G157" s="1" t="s">
        <v>41</v>
      </c>
      <c r="H157" s="1" t="s">
        <v>31</v>
      </c>
      <c r="I157" s="1">
        <v>0.2</v>
      </c>
      <c r="J157" s="1" t="s">
        <v>103</v>
      </c>
      <c r="K157" s="1" t="s">
        <v>33</v>
      </c>
      <c r="L157" s="1" t="s">
        <v>33</v>
      </c>
      <c r="M157" s="1" t="s">
        <v>34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0.08</v>
      </c>
      <c r="T157" s="5">
        <v>0</v>
      </c>
      <c r="U157" s="5">
        <v>0.06</v>
      </c>
      <c r="V157" s="5">
        <v>0</v>
      </c>
      <c r="W157" s="5">
        <v>0.06</v>
      </c>
      <c r="X157" s="5">
        <v>0</v>
      </c>
      <c r="Y157" s="5">
        <v>9.1157702825888781E-2</v>
      </c>
    </row>
    <row r="158" spans="1:25" hidden="1" x14ac:dyDescent="0.3">
      <c r="A158" s="1">
        <v>125</v>
      </c>
      <c r="B158" s="1" t="s">
        <v>104</v>
      </c>
      <c r="C158" s="1" t="s">
        <v>26</v>
      </c>
      <c r="D158" s="1" t="s">
        <v>52</v>
      </c>
      <c r="E158" s="1" t="s">
        <v>40</v>
      </c>
      <c r="F158" s="1" t="s">
        <v>49</v>
      </c>
      <c r="G158" s="1" t="s">
        <v>41</v>
      </c>
      <c r="H158" s="1" t="s">
        <v>31</v>
      </c>
      <c r="I158" s="1">
        <v>4.7</v>
      </c>
      <c r="J158" s="1" t="s">
        <v>105</v>
      </c>
      <c r="K158" s="1" t="s">
        <v>33</v>
      </c>
      <c r="L158" s="1" t="s">
        <v>33</v>
      </c>
      <c r="M158" s="1" t="s">
        <v>34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0.25</v>
      </c>
      <c r="T158" s="5">
        <v>0</v>
      </c>
      <c r="U158" s="5">
        <v>0.24</v>
      </c>
      <c r="V158" s="5">
        <v>0</v>
      </c>
      <c r="W158" s="5">
        <v>0.45</v>
      </c>
      <c r="X158" s="5">
        <v>0</v>
      </c>
      <c r="Y158" s="5">
        <v>0.27347310847766643</v>
      </c>
    </row>
    <row r="159" spans="1:25" hidden="1" x14ac:dyDescent="0.3">
      <c r="A159" s="1">
        <v>128</v>
      </c>
      <c r="B159" s="1" t="s">
        <v>110</v>
      </c>
      <c r="C159" s="1" t="s">
        <v>26</v>
      </c>
      <c r="D159" s="1" t="s">
        <v>52</v>
      </c>
      <c r="E159" s="1" t="s">
        <v>40</v>
      </c>
      <c r="F159" s="1" t="s">
        <v>49</v>
      </c>
      <c r="G159" s="1" t="s">
        <v>41</v>
      </c>
      <c r="H159" s="1" t="s">
        <v>31</v>
      </c>
      <c r="I159" s="1">
        <v>1</v>
      </c>
      <c r="J159" s="1" t="s">
        <v>111</v>
      </c>
      <c r="K159" s="1" t="s">
        <v>33</v>
      </c>
      <c r="L159" s="1" t="s">
        <v>33</v>
      </c>
      <c r="M159" s="1" t="s">
        <v>34</v>
      </c>
      <c r="N159" s="4">
        <v>0.97</v>
      </c>
      <c r="O159" s="4">
        <v>0.95</v>
      </c>
      <c r="P159" s="5">
        <v>0.69</v>
      </c>
      <c r="Q159" s="5">
        <v>0.72</v>
      </c>
      <c r="R159" s="4">
        <v>0.97</v>
      </c>
      <c r="S159" s="4">
        <v>0.98</v>
      </c>
      <c r="T159" s="4">
        <v>0.97</v>
      </c>
      <c r="U159" s="5">
        <v>0.88</v>
      </c>
      <c r="V159" s="4">
        <v>0.94</v>
      </c>
      <c r="W159" s="4">
        <v>0.96</v>
      </c>
      <c r="X159" s="4">
        <v>0.99</v>
      </c>
      <c r="Y159" s="5">
        <v>0.86</v>
      </c>
    </row>
    <row r="160" spans="1:25" hidden="1" x14ac:dyDescent="0.3">
      <c r="A160" s="1">
        <v>172</v>
      </c>
      <c r="B160" s="1" t="s">
        <v>138</v>
      </c>
      <c r="C160" s="1" t="s">
        <v>26</v>
      </c>
      <c r="D160" s="1" t="s">
        <v>96</v>
      </c>
      <c r="E160" s="1" t="s">
        <v>28</v>
      </c>
      <c r="F160" s="1" t="s">
        <v>49</v>
      </c>
      <c r="G160" s="1" t="s">
        <v>30</v>
      </c>
      <c r="H160" s="1" t="s">
        <v>31</v>
      </c>
      <c r="I160" s="1">
        <v>95</v>
      </c>
      <c r="J160" s="1" t="s">
        <v>139</v>
      </c>
      <c r="K160" s="1" t="s">
        <v>33</v>
      </c>
      <c r="L160" s="1" t="s">
        <v>33</v>
      </c>
      <c r="M160" s="1" t="s">
        <v>34</v>
      </c>
      <c r="N160" s="5">
        <v>98.44</v>
      </c>
      <c r="O160" s="5">
        <v>96.77</v>
      </c>
      <c r="P160" s="5">
        <v>98.21</v>
      </c>
      <c r="Q160" s="6">
        <v>89.8</v>
      </c>
      <c r="R160" s="6">
        <v>86.36</v>
      </c>
      <c r="S160" s="6">
        <v>91.43</v>
      </c>
      <c r="T160" s="6">
        <v>81.819999999999993</v>
      </c>
      <c r="U160" s="4">
        <v>95.65</v>
      </c>
      <c r="V160" s="6">
        <v>88.89</v>
      </c>
      <c r="W160" s="6">
        <v>83.33</v>
      </c>
      <c r="X160" s="5">
        <v>100</v>
      </c>
      <c r="Y160" s="6">
        <v>80</v>
      </c>
    </row>
    <row r="161" spans="1:25" hidden="1" x14ac:dyDescent="0.3">
      <c r="A161" s="1">
        <v>208</v>
      </c>
      <c r="B161" s="1" t="s">
        <v>170</v>
      </c>
      <c r="C161" s="1" t="s">
        <v>26</v>
      </c>
      <c r="D161" s="1" t="s">
        <v>93</v>
      </c>
      <c r="E161" s="1" t="s">
        <v>40</v>
      </c>
      <c r="F161" s="1" t="s">
        <v>49</v>
      </c>
      <c r="G161" s="1" t="s">
        <v>41</v>
      </c>
      <c r="H161" s="1" t="s">
        <v>153</v>
      </c>
      <c r="I161" s="1">
        <v>1700</v>
      </c>
      <c r="J161" s="1" t="s">
        <v>171</v>
      </c>
      <c r="K161" s="1" t="s">
        <v>155</v>
      </c>
      <c r="L161" s="1" t="s">
        <v>34</v>
      </c>
      <c r="M161" s="1" t="s">
        <v>34</v>
      </c>
      <c r="N161" s="5">
        <v>1059</v>
      </c>
      <c r="O161" s="5">
        <v>1126</v>
      </c>
      <c r="P161" s="5">
        <v>1260.5</v>
      </c>
      <c r="Q161" s="5">
        <v>1352</v>
      </c>
      <c r="R161" s="5">
        <v>1261</v>
      </c>
      <c r="S161" s="5">
        <v>1043.5</v>
      </c>
      <c r="T161" s="5">
        <v>1408.5</v>
      </c>
      <c r="U161" s="5">
        <v>1440.5</v>
      </c>
      <c r="V161" s="5">
        <v>1271</v>
      </c>
      <c r="W161" s="5">
        <v>1309.5</v>
      </c>
      <c r="X161" s="5">
        <v>1123</v>
      </c>
      <c r="Y161" s="5">
        <v>800</v>
      </c>
    </row>
    <row r="162" spans="1:25" hidden="1" x14ac:dyDescent="0.3">
      <c r="A162">
        <v>208</v>
      </c>
      <c r="B162" t="s">
        <v>170</v>
      </c>
      <c r="C162" t="s">
        <v>26</v>
      </c>
      <c r="D162" t="s">
        <v>93</v>
      </c>
      <c r="E162" t="s">
        <v>40</v>
      </c>
      <c r="F162" t="s">
        <v>49</v>
      </c>
      <c r="G162" t="s">
        <v>41</v>
      </c>
      <c r="H162" t="s">
        <v>153</v>
      </c>
      <c r="I162">
        <v>1700</v>
      </c>
      <c r="J162" t="s">
        <v>171</v>
      </c>
      <c r="K162" t="s">
        <v>155</v>
      </c>
      <c r="L162" t="s">
        <v>172</v>
      </c>
      <c r="M162" t="s">
        <v>173</v>
      </c>
      <c r="N162" s="3">
        <v>643</v>
      </c>
      <c r="O162" s="3">
        <v>671</v>
      </c>
      <c r="P162" s="3">
        <v>686</v>
      </c>
      <c r="Q162" s="3">
        <v>757</v>
      </c>
      <c r="R162" s="3">
        <v>659</v>
      </c>
      <c r="S162" s="3">
        <v>484</v>
      </c>
      <c r="T162" s="3">
        <v>716</v>
      </c>
      <c r="U162" s="3">
        <v>687</v>
      </c>
      <c r="V162" s="3">
        <v>653</v>
      </c>
      <c r="W162" s="3">
        <v>721</v>
      </c>
      <c r="X162" s="3">
        <v>632</v>
      </c>
      <c r="Y162" s="3">
        <v>440</v>
      </c>
    </row>
    <row r="163" spans="1:25" hidden="1" x14ac:dyDescent="0.3">
      <c r="A163">
        <v>208</v>
      </c>
      <c r="B163" t="s">
        <v>170</v>
      </c>
      <c r="C163" t="s">
        <v>26</v>
      </c>
      <c r="D163" t="s">
        <v>93</v>
      </c>
      <c r="E163" t="s">
        <v>40</v>
      </c>
      <c r="F163" t="s">
        <v>49</v>
      </c>
      <c r="G163" t="s">
        <v>41</v>
      </c>
      <c r="H163" t="s">
        <v>153</v>
      </c>
      <c r="I163">
        <v>1700</v>
      </c>
      <c r="J163" t="s">
        <v>171</v>
      </c>
      <c r="K163" t="s">
        <v>155</v>
      </c>
      <c r="L163" t="s">
        <v>174</v>
      </c>
      <c r="M163" t="s">
        <v>175</v>
      </c>
      <c r="N163" s="3">
        <v>266</v>
      </c>
      <c r="O163" s="3">
        <v>266</v>
      </c>
      <c r="P163" s="3">
        <v>358.5</v>
      </c>
      <c r="Q163" s="3">
        <v>358.5</v>
      </c>
      <c r="R163" s="3">
        <v>409.5</v>
      </c>
      <c r="S163" s="3">
        <v>409.5</v>
      </c>
      <c r="T163" s="3">
        <v>517.5</v>
      </c>
      <c r="U163" s="3">
        <v>517.5</v>
      </c>
      <c r="V163" s="3">
        <v>371</v>
      </c>
      <c r="W163" s="3">
        <v>371</v>
      </c>
      <c r="X163" s="3">
        <v>249.5</v>
      </c>
      <c r="Y163" s="3">
        <v>249.5</v>
      </c>
    </row>
    <row r="164" spans="1:25" hidden="1" x14ac:dyDescent="0.3">
      <c r="A164">
        <v>208</v>
      </c>
      <c r="B164" t="s">
        <v>170</v>
      </c>
      <c r="C164" t="s">
        <v>26</v>
      </c>
      <c r="D164" t="s">
        <v>93</v>
      </c>
      <c r="E164" t="s">
        <v>40</v>
      </c>
      <c r="F164" t="s">
        <v>49</v>
      </c>
      <c r="G164" t="s">
        <v>41</v>
      </c>
      <c r="H164" t="s">
        <v>153</v>
      </c>
      <c r="I164">
        <v>1700</v>
      </c>
      <c r="J164" t="s">
        <v>171</v>
      </c>
      <c r="K164" t="s">
        <v>155</v>
      </c>
      <c r="L164" t="s">
        <v>176</v>
      </c>
      <c r="M164" t="s">
        <v>177</v>
      </c>
      <c r="N164" s="3">
        <v>14</v>
      </c>
      <c r="O164" s="3">
        <v>4</v>
      </c>
      <c r="P164" s="3">
        <v>4</v>
      </c>
      <c r="Q164" s="3">
        <v>5.5</v>
      </c>
      <c r="R164" s="3">
        <v>5.5</v>
      </c>
      <c r="S164" s="3">
        <v>13</v>
      </c>
      <c r="T164" s="3">
        <v>13</v>
      </c>
      <c r="U164" s="3">
        <v>20</v>
      </c>
      <c r="V164" s="3">
        <v>20</v>
      </c>
      <c r="W164" s="3">
        <v>13.5</v>
      </c>
      <c r="X164" s="3">
        <v>13.5</v>
      </c>
      <c r="Y164" s="3">
        <v>22.5</v>
      </c>
    </row>
    <row r="165" spans="1:25" hidden="1" x14ac:dyDescent="0.3">
      <c r="A165">
        <v>208</v>
      </c>
      <c r="B165" t="s">
        <v>170</v>
      </c>
      <c r="C165" t="s">
        <v>26</v>
      </c>
      <c r="D165" t="s">
        <v>93</v>
      </c>
      <c r="E165" t="s">
        <v>40</v>
      </c>
      <c r="F165" t="s">
        <v>49</v>
      </c>
      <c r="G165" t="s">
        <v>41</v>
      </c>
      <c r="H165" t="s">
        <v>153</v>
      </c>
      <c r="I165">
        <v>1700</v>
      </c>
      <c r="J165" t="s">
        <v>171</v>
      </c>
      <c r="K165" t="s">
        <v>155</v>
      </c>
      <c r="L165" t="s">
        <v>178</v>
      </c>
      <c r="M165" t="s">
        <v>179</v>
      </c>
      <c r="N165" s="3">
        <v>124</v>
      </c>
      <c r="O165" s="3">
        <v>168</v>
      </c>
      <c r="P165" s="3">
        <v>194</v>
      </c>
      <c r="Q165" s="3">
        <v>210</v>
      </c>
      <c r="R165" s="3">
        <v>169</v>
      </c>
      <c r="S165" s="3">
        <v>123</v>
      </c>
      <c r="T165" s="3">
        <v>153</v>
      </c>
      <c r="U165" s="3">
        <v>190</v>
      </c>
      <c r="V165" s="3">
        <v>211</v>
      </c>
      <c r="W165" s="3">
        <v>204</v>
      </c>
      <c r="X165" s="3">
        <v>228</v>
      </c>
      <c r="Y165" s="3">
        <v>88</v>
      </c>
    </row>
    <row r="166" spans="1:25" hidden="1" x14ac:dyDescent="0.3">
      <c r="A166">
        <v>208</v>
      </c>
      <c r="B166" t="s">
        <v>170</v>
      </c>
      <c r="C166" t="s">
        <v>26</v>
      </c>
      <c r="D166" t="s">
        <v>93</v>
      </c>
      <c r="E166" t="s">
        <v>40</v>
      </c>
      <c r="F166" t="s">
        <v>49</v>
      </c>
      <c r="G166" t="s">
        <v>41</v>
      </c>
      <c r="H166" t="s">
        <v>153</v>
      </c>
      <c r="I166">
        <v>1700</v>
      </c>
      <c r="J166" t="s">
        <v>171</v>
      </c>
      <c r="K166" t="s">
        <v>155</v>
      </c>
      <c r="L166" t="s">
        <v>180</v>
      </c>
      <c r="M166" t="s">
        <v>181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</row>
    <row r="167" spans="1:25" hidden="1" x14ac:dyDescent="0.3">
      <c r="A167">
        <v>208</v>
      </c>
      <c r="B167" t="s">
        <v>170</v>
      </c>
      <c r="C167" t="s">
        <v>26</v>
      </c>
      <c r="D167" t="s">
        <v>93</v>
      </c>
      <c r="E167" t="s">
        <v>40</v>
      </c>
      <c r="F167" t="s">
        <v>49</v>
      </c>
      <c r="G167" t="s">
        <v>41</v>
      </c>
      <c r="H167" t="s">
        <v>153</v>
      </c>
      <c r="I167">
        <v>1700</v>
      </c>
      <c r="J167" t="s">
        <v>171</v>
      </c>
      <c r="K167" t="s">
        <v>155</v>
      </c>
      <c r="L167" t="s">
        <v>182</v>
      </c>
      <c r="M167" t="s">
        <v>183</v>
      </c>
      <c r="N167" s="3">
        <v>12</v>
      </c>
      <c r="O167" s="3">
        <v>17</v>
      </c>
      <c r="P167" s="3">
        <v>18</v>
      </c>
      <c r="Q167" s="3">
        <v>21</v>
      </c>
      <c r="R167" s="3">
        <v>18</v>
      </c>
      <c r="S167" s="3">
        <v>14</v>
      </c>
      <c r="T167" s="3">
        <v>9</v>
      </c>
      <c r="U167" s="3">
        <v>26</v>
      </c>
      <c r="V167" s="3">
        <v>16</v>
      </c>
      <c r="W167" s="3">
        <v>0</v>
      </c>
      <c r="X167" s="3">
        <v>0</v>
      </c>
      <c r="Y167" s="3">
        <v>0</v>
      </c>
    </row>
    <row r="168" spans="1:25" hidden="1" x14ac:dyDescent="0.3">
      <c r="A168" s="1">
        <v>214</v>
      </c>
      <c r="B168" s="1" t="s">
        <v>203</v>
      </c>
      <c r="C168" s="1" t="s">
        <v>26</v>
      </c>
      <c r="D168" s="1" t="s">
        <v>93</v>
      </c>
      <c r="E168" s="1" t="s">
        <v>40</v>
      </c>
      <c r="F168" s="1" t="s">
        <v>49</v>
      </c>
      <c r="G168" s="1" t="s">
        <v>41</v>
      </c>
      <c r="H168" s="1" t="s">
        <v>153</v>
      </c>
      <c r="I168" s="1">
        <v>7500</v>
      </c>
      <c r="J168" s="1" t="s">
        <v>204</v>
      </c>
      <c r="K168" s="1" t="s">
        <v>155</v>
      </c>
      <c r="L168" s="1" t="s">
        <v>34</v>
      </c>
      <c r="M168" s="1" t="s">
        <v>34</v>
      </c>
      <c r="N168" s="5">
        <v>2169.54</v>
      </c>
      <c r="O168" s="5">
        <v>5264</v>
      </c>
      <c r="P168" s="5">
        <v>3998.57</v>
      </c>
      <c r="Q168" s="5">
        <v>5321.59</v>
      </c>
      <c r="R168" s="5">
        <v>5120.88</v>
      </c>
      <c r="S168" s="5">
        <v>2456.83</v>
      </c>
      <c r="T168" s="5">
        <v>2630.16</v>
      </c>
      <c r="U168" s="5">
        <v>5499.51</v>
      </c>
      <c r="V168" s="5">
        <v>5312.64</v>
      </c>
      <c r="W168" s="5">
        <v>6477.26</v>
      </c>
      <c r="X168" s="5">
        <v>5016.83</v>
      </c>
      <c r="Y168" s="5">
        <v>2054.7600000000002</v>
      </c>
    </row>
    <row r="169" spans="1:25" hidden="1" x14ac:dyDescent="0.3">
      <c r="A169">
        <v>214</v>
      </c>
      <c r="B169" t="s">
        <v>203</v>
      </c>
      <c r="C169" t="s">
        <v>26</v>
      </c>
      <c r="D169" t="s">
        <v>93</v>
      </c>
      <c r="E169" t="s">
        <v>40</v>
      </c>
      <c r="F169" t="s">
        <v>49</v>
      </c>
      <c r="G169" t="s">
        <v>41</v>
      </c>
      <c r="H169" t="s">
        <v>153</v>
      </c>
      <c r="I169">
        <v>7500</v>
      </c>
      <c r="J169" t="s">
        <v>204</v>
      </c>
      <c r="K169" t="s">
        <v>155</v>
      </c>
      <c r="L169" t="s">
        <v>172</v>
      </c>
      <c r="M169" t="s">
        <v>173</v>
      </c>
      <c r="N169" s="3">
        <v>1243.9000000000001</v>
      </c>
      <c r="O169" s="3">
        <v>2866.38</v>
      </c>
      <c r="P169" s="3">
        <v>1781.69</v>
      </c>
      <c r="Q169" s="3">
        <v>2462.04</v>
      </c>
      <c r="R169" s="3">
        <v>2743.51</v>
      </c>
      <c r="S169" s="3">
        <v>812.35</v>
      </c>
      <c r="T169" s="3">
        <v>1264.47</v>
      </c>
      <c r="U169" s="3">
        <v>3065.13</v>
      </c>
      <c r="V169" s="3">
        <v>3516.79</v>
      </c>
      <c r="W169" s="3">
        <v>3844.31</v>
      </c>
      <c r="X169" s="3">
        <v>3092.35</v>
      </c>
      <c r="Y169" s="3">
        <v>1130.94</v>
      </c>
    </row>
    <row r="170" spans="1:25" hidden="1" x14ac:dyDescent="0.3">
      <c r="A170">
        <v>214</v>
      </c>
      <c r="B170" t="s">
        <v>203</v>
      </c>
      <c r="C170" t="s">
        <v>26</v>
      </c>
      <c r="D170" t="s">
        <v>93</v>
      </c>
      <c r="E170" t="s">
        <v>40</v>
      </c>
      <c r="F170" t="s">
        <v>49</v>
      </c>
      <c r="G170" t="s">
        <v>41</v>
      </c>
      <c r="H170" t="s">
        <v>153</v>
      </c>
      <c r="I170">
        <v>7500</v>
      </c>
      <c r="J170" t="s">
        <v>204</v>
      </c>
      <c r="K170" t="s">
        <v>155</v>
      </c>
      <c r="L170" t="s">
        <v>174</v>
      </c>
      <c r="M170" t="s">
        <v>175</v>
      </c>
      <c r="N170" s="3">
        <v>162.18</v>
      </c>
      <c r="O170" s="3">
        <v>1118.4000000000001</v>
      </c>
      <c r="P170" s="3">
        <v>1201.5999999999999</v>
      </c>
      <c r="Q170" s="3">
        <v>1334.03</v>
      </c>
      <c r="R170" s="3">
        <v>1181.77</v>
      </c>
      <c r="S170" s="3">
        <v>992.48</v>
      </c>
      <c r="T170" s="3">
        <v>681.89</v>
      </c>
      <c r="U170" s="3">
        <v>1181.58</v>
      </c>
      <c r="V170" s="3">
        <v>998.43</v>
      </c>
      <c r="W170" s="3">
        <v>1286.8900000000001</v>
      </c>
      <c r="X170" s="3">
        <v>1009.26</v>
      </c>
      <c r="Y170" s="3">
        <v>406.56</v>
      </c>
    </row>
    <row r="171" spans="1:25" hidden="1" x14ac:dyDescent="0.3">
      <c r="A171">
        <v>214</v>
      </c>
      <c r="B171" t="s">
        <v>203</v>
      </c>
      <c r="C171" t="s">
        <v>26</v>
      </c>
      <c r="D171" t="s">
        <v>93</v>
      </c>
      <c r="E171" t="s">
        <v>40</v>
      </c>
      <c r="F171" t="s">
        <v>49</v>
      </c>
      <c r="G171" t="s">
        <v>41</v>
      </c>
      <c r="H171" t="s">
        <v>153</v>
      </c>
      <c r="I171">
        <v>7500</v>
      </c>
      <c r="J171" t="s">
        <v>204</v>
      </c>
      <c r="K171" t="s">
        <v>155</v>
      </c>
      <c r="L171" t="s">
        <v>176</v>
      </c>
      <c r="M171" t="s">
        <v>177</v>
      </c>
      <c r="N171" s="3">
        <v>26.37</v>
      </c>
      <c r="O171" s="3">
        <v>48.98</v>
      </c>
      <c r="P171" s="3">
        <v>72.430000000000007</v>
      </c>
      <c r="Q171" s="3">
        <v>84.3</v>
      </c>
      <c r="R171" s="3">
        <v>18.670000000000002</v>
      </c>
      <c r="S171" s="3">
        <v>3.64</v>
      </c>
      <c r="T171" s="3">
        <v>49.92</v>
      </c>
      <c r="U171" s="3">
        <v>30.08</v>
      </c>
      <c r="V171" s="3">
        <v>110.98</v>
      </c>
      <c r="W171" s="3">
        <v>37.71</v>
      </c>
      <c r="X171" s="3" t="s">
        <v>59</v>
      </c>
      <c r="Y171" s="3" t="s">
        <v>59</v>
      </c>
    </row>
    <row r="172" spans="1:25" hidden="1" x14ac:dyDescent="0.3">
      <c r="A172">
        <v>214</v>
      </c>
      <c r="B172" t="s">
        <v>203</v>
      </c>
      <c r="C172" t="s">
        <v>26</v>
      </c>
      <c r="D172" t="s">
        <v>93</v>
      </c>
      <c r="E172" t="s">
        <v>40</v>
      </c>
      <c r="F172" t="s">
        <v>49</v>
      </c>
      <c r="G172" t="s">
        <v>41</v>
      </c>
      <c r="H172" t="s">
        <v>153</v>
      </c>
      <c r="I172">
        <v>7500</v>
      </c>
      <c r="J172" t="s">
        <v>204</v>
      </c>
      <c r="K172" t="s">
        <v>155</v>
      </c>
      <c r="L172" t="s">
        <v>178</v>
      </c>
      <c r="M172" t="s">
        <v>179</v>
      </c>
      <c r="N172" s="3">
        <v>697.86</v>
      </c>
      <c r="O172" s="3">
        <v>1052.3</v>
      </c>
      <c r="P172" s="3">
        <v>734.2</v>
      </c>
      <c r="Q172" s="3">
        <v>1165.0999999999999</v>
      </c>
      <c r="R172" s="3">
        <v>983.98</v>
      </c>
      <c r="S172" s="3">
        <v>496.1</v>
      </c>
      <c r="T172" s="3">
        <v>492.8</v>
      </c>
      <c r="U172" s="3">
        <v>944.2</v>
      </c>
      <c r="V172" s="3">
        <v>649.5</v>
      </c>
      <c r="W172" s="3">
        <v>1257.77</v>
      </c>
      <c r="X172" s="3">
        <v>886.8</v>
      </c>
      <c r="Y172" s="3">
        <v>406.9</v>
      </c>
    </row>
    <row r="173" spans="1:25" hidden="1" x14ac:dyDescent="0.3">
      <c r="A173">
        <v>214</v>
      </c>
      <c r="B173" t="s">
        <v>203</v>
      </c>
      <c r="C173" t="s">
        <v>26</v>
      </c>
      <c r="D173" t="s">
        <v>93</v>
      </c>
      <c r="E173" t="s">
        <v>40</v>
      </c>
      <c r="F173" t="s">
        <v>49</v>
      </c>
      <c r="G173" t="s">
        <v>41</v>
      </c>
      <c r="H173" t="s">
        <v>153</v>
      </c>
      <c r="I173">
        <v>7500</v>
      </c>
      <c r="J173" t="s">
        <v>204</v>
      </c>
      <c r="K173" t="s">
        <v>155</v>
      </c>
      <c r="L173" t="s">
        <v>180</v>
      </c>
      <c r="M173" t="s">
        <v>181</v>
      </c>
      <c r="N173" s="3">
        <v>27.79</v>
      </c>
      <c r="O173" s="3">
        <v>146.88</v>
      </c>
      <c r="P173" s="3">
        <v>176.29</v>
      </c>
      <c r="Q173" s="3">
        <v>240.4</v>
      </c>
      <c r="R173" s="3">
        <v>167.65</v>
      </c>
      <c r="S173" s="3">
        <v>103.31</v>
      </c>
      <c r="T173" s="3">
        <v>116.92</v>
      </c>
      <c r="U173" s="3">
        <v>242.25</v>
      </c>
      <c r="V173" s="3" t="s">
        <v>59</v>
      </c>
      <c r="W173" s="3" t="s">
        <v>59</v>
      </c>
      <c r="X173" s="3" t="s">
        <v>59</v>
      </c>
      <c r="Y173" s="3" t="s">
        <v>59</v>
      </c>
    </row>
    <row r="174" spans="1:25" hidden="1" x14ac:dyDescent="0.3">
      <c r="A174">
        <v>214</v>
      </c>
      <c r="B174" t="s">
        <v>203</v>
      </c>
      <c r="C174" t="s">
        <v>26</v>
      </c>
      <c r="D174" t="s">
        <v>93</v>
      </c>
      <c r="E174" t="s">
        <v>40</v>
      </c>
      <c r="F174" t="s">
        <v>49</v>
      </c>
      <c r="G174" t="s">
        <v>41</v>
      </c>
      <c r="H174" t="s">
        <v>153</v>
      </c>
      <c r="I174">
        <v>7500</v>
      </c>
      <c r="J174" t="s">
        <v>204</v>
      </c>
      <c r="K174" t="s">
        <v>155</v>
      </c>
      <c r="L174" t="s">
        <v>182</v>
      </c>
      <c r="M174" t="s">
        <v>183</v>
      </c>
      <c r="N174" s="3">
        <v>11.44</v>
      </c>
      <c r="O174" s="3">
        <v>31.06</v>
      </c>
      <c r="P174" s="3">
        <v>32.36</v>
      </c>
      <c r="Q174" s="3">
        <v>35.72</v>
      </c>
      <c r="R174" s="3">
        <v>25.3</v>
      </c>
      <c r="S174" s="3">
        <v>48.95</v>
      </c>
      <c r="T174" s="3">
        <v>24.16</v>
      </c>
      <c r="U174" s="3">
        <v>36.270000000000003</v>
      </c>
      <c r="V174" s="3">
        <v>36.94</v>
      </c>
      <c r="W174" s="3">
        <v>50.58</v>
      </c>
      <c r="X174" s="3">
        <v>28.42</v>
      </c>
      <c r="Y174" s="3">
        <v>110.36</v>
      </c>
    </row>
    <row r="175" spans="1:25" hidden="1" x14ac:dyDescent="0.3">
      <c r="A175" s="1">
        <v>217</v>
      </c>
      <c r="B175" s="1" t="s">
        <v>210</v>
      </c>
      <c r="C175" s="1" t="s">
        <v>47</v>
      </c>
      <c r="D175" s="1" t="s">
        <v>93</v>
      </c>
      <c r="E175" s="1" t="s">
        <v>40</v>
      </c>
      <c r="F175" s="1" t="s">
        <v>49</v>
      </c>
      <c r="G175" s="1" t="s">
        <v>30</v>
      </c>
      <c r="H175" s="1" t="s">
        <v>153</v>
      </c>
      <c r="I175" s="1">
        <v>20</v>
      </c>
      <c r="J175" s="1" t="s">
        <v>211</v>
      </c>
      <c r="K175" s="1" t="s">
        <v>155</v>
      </c>
      <c r="L175" s="1" t="s">
        <v>34</v>
      </c>
      <c r="M175" s="1" t="s">
        <v>34</v>
      </c>
      <c r="N175" s="5">
        <v>48.34</v>
      </c>
      <c r="O175" s="5">
        <v>229.04</v>
      </c>
      <c r="P175" s="5">
        <v>148.5</v>
      </c>
      <c r="Q175" s="5">
        <v>39.5</v>
      </c>
      <c r="R175" s="4">
        <v>27.45</v>
      </c>
      <c r="S175" s="5">
        <v>50.5</v>
      </c>
      <c r="T175" s="5">
        <v>48.94</v>
      </c>
      <c r="U175" s="4">
        <v>29.8</v>
      </c>
      <c r="V175" s="5">
        <v>45.35</v>
      </c>
      <c r="W175" s="4">
        <v>27.57</v>
      </c>
      <c r="X175" s="5">
        <v>42.89</v>
      </c>
      <c r="Y175" s="5">
        <v>139.19</v>
      </c>
    </row>
    <row r="176" spans="1:25" hidden="1" x14ac:dyDescent="0.3">
      <c r="A176">
        <v>217</v>
      </c>
      <c r="B176" t="s">
        <v>210</v>
      </c>
      <c r="C176" t="s">
        <v>47</v>
      </c>
      <c r="D176" t="s">
        <v>93</v>
      </c>
      <c r="E176" t="s">
        <v>40</v>
      </c>
      <c r="F176" t="s">
        <v>49</v>
      </c>
      <c r="G176" t="s">
        <v>30</v>
      </c>
      <c r="H176" t="s">
        <v>153</v>
      </c>
      <c r="I176">
        <v>20</v>
      </c>
      <c r="J176" t="s">
        <v>211</v>
      </c>
      <c r="K176" t="s">
        <v>155</v>
      </c>
      <c r="L176" t="s">
        <v>172</v>
      </c>
      <c r="M176" t="s">
        <v>173</v>
      </c>
      <c r="N176" s="3">
        <v>80.42</v>
      </c>
      <c r="O176" s="3">
        <v>409.66</v>
      </c>
      <c r="P176" s="3">
        <v>292.62</v>
      </c>
      <c r="Q176" s="3">
        <v>59.96</v>
      </c>
      <c r="R176" s="3">
        <v>38.31</v>
      </c>
      <c r="S176" s="3">
        <v>116.67</v>
      </c>
      <c r="T176" s="3">
        <v>83.59</v>
      </c>
      <c r="U176" s="3">
        <v>45.8</v>
      </c>
      <c r="V176" s="3">
        <v>60.27</v>
      </c>
      <c r="W176" s="3">
        <v>36.57</v>
      </c>
      <c r="X176" s="3">
        <v>61.3</v>
      </c>
      <c r="Y176" s="3">
        <v>240.68</v>
      </c>
    </row>
    <row r="177" spans="1:25" hidden="1" x14ac:dyDescent="0.3">
      <c r="A177">
        <v>217</v>
      </c>
      <c r="B177" t="s">
        <v>210</v>
      </c>
      <c r="C177" t="s">
        <v>47</v>
      </c>
      <c r="D177" t="s">
        <v>93</v>
      </c>
      <c r="E177" t="s">
        <v>40</v>
      </c>
      <c r="F177" t="s">
        <v>49</v>
      </c>
      <c r="G177" t="s">
        <v>30</v>
      </c>
      <c r="H177" t="s">
        <v>153</v>
      </c>
      <c r="I177">
        <v>20</v>
      </c>
      <c r="J177" t="s">
        <v>211</v>
      </c>
      <c r="K177" t="s">
        <v>155</v>
      </c>
      <c r="L177" t="s">
        <v>174</v>
      </c>
      <c r="M177" t="s">
        <v>175</v>
      </c>
      <c r="N177" s="3">
        <v>17.649999999999999</v>
      </c>
      <c r="O177" s="3">
        <v>23.72</v>
      </c>
      <c r="P177" s="3">
        <v>55.71</v>
      </c>
      <c r="Q177" s="3">
        <v>24.71</v>
      </c>
      <c r="R177" s="3">
        <v>21.31</v>
      </c>
      <c r="S177" s="3">
        <v>23.9</v>
      </c>
      <c r="T177" s="3">
        <v>19.95</v>
      </c>
      <c r="U177" s="3">
        <v>9.1300000000000008</v>
      </c>
      <c r="V177" s="3">
        <v>17.690000000000001</v>
      </c>
      <c r="W177" s="3">
        <v>16.37</v>
      </c>
      <c r="X177" s="3">
        <v>10.119999999999999</v>
      </c>
      <c r="Y177" s="3">
        <v>19.850000000000001</v>
      </c>
    </row>
    <row r="178" spans="1:25" hidden="1" x14ac:dyDescent="0.3">
      <c r="A178">
        <v>217</v>
      </c>
      <c r="B178" t="s">
        <v>210</v>
      </c>
      <c r="C178" t="s">
        <v>47</v>
      </c>
      <c r="D178" t="s">
        <v>93</v>
      </c>
      <c r="E178" t="s">
        <v>40</v>
      </c>
      <c r="F178" t="s">
        <v>49</v>
      </c>
      <c r="G178" t="s">
        <v>30</v>
      </c>
      <c r="H178" t="s">
        <v>153</v>
      </c>
      <c r="I178">
        <v>20</v>
      </c>
      <c r="J178" t="s">
        <v>211</v>
      </c>
      <c r="K178" t="s">
        <v>155</v>
      </c>
      <c r="L178" t="s">
        <v>176</v>
      </c>
      <c r="M178" t="s">
        <v>177</v>
      </c>
      <c r="N178" s="3">
        <v>31.02</v>
      </c>
      <c r="O178" s="3">
        <v>5.92</v>
      </c>
      <c r="P178" s="3">
        <v>31.38</v>
      </c>
      <c r="Q178" s="3">
        <v>35.08</v>
      </c>
      <c r="R178" s="3">
        <v>56.78</v>
      </c>
      <c r="S178" s="3">
        <v>0</v>
      </c>
      <c r="T178" s="3">
        <v>30.17</v>
      </c>
      <c r="U178" s="3">
        <v>26.8</v>
      </c>
      <c r="V178" s="3">
        <v>42.97</v>
      </c>
      <c r="W178" s="3">
        <v>60.28</v>
      </c>
      <c r="X178" s="3" t="s">
        <v>59</v>
      </c>
      <c r="Y178" s="3" t="s">
        <v>59</v>
      </c>
    </row>
    <row r="179" spans="1:25" hidden="1" x14ac:dyDescent="0.3">
      <c r="A179">
        <v>217</v>
      </c>
      <c r="B179" t="s">
        <v>210</v>
      </c>
      <c r="C179" t="s">
        <v>47</v>
      </c>
      <c r="D179" t="s">
        <v>93</v>
      </c>
      <c r="E179" t="s">
        <v>40</v>
      </c>
      <c r="F179" t="s">
        <v>49</v>
      </c>
      <c r="G179" t="s">
        <v>30</v>
      </c>
      <c r="H179" t="s">
        <v>153</v>
      </c>
      <c r="I179">
        <v>20</v>
      </c>
      <c r="J179" t="s">
        <v>211</v>
      </c>
      <c r="K179" t="s">
        <v>155</v>
      </c>
      <c r="L179" t="s">
        <v>178</v>
      </c>
      <c r="M179" t="s">
        <v>179</v>
      </c>
      <c r="N179" s="3">
        <v>1.43</v>
      </c>
      <c r="O179" s="3">
        <v>1.52</v>
      </c>
      <c r="P179" s="3">
        <v>0</v>
      </c>
      <c r="Q179" s="3">
        <v>20.03</v>
      </c>
      <c r="R179" s="3">
        <v>6.48</v>
      </c>
      <c r="S179" s="3">
        <v>4.76</v>
      </c>
      <c r="T179" s="3">
        <v>2.64</v>
      </c>
      <c r="U179" s="3">
        <v>8.06</v>
      </c>
      <c r="V179" s="3">
        <v>7.76</v>
      </c>
      <c r="W179" s="3">
        <v>9.58</v>
      </c>
      <c r="X179" s="3">
        <v>16.79</v>
      </c>
      <c r="Y179" s="3">
        <v>0</v>
      </c>
    </row>
    <row r="180" spans="1:25" hidden="1" x14ac:dyDescent="0.3">
      <c r="A180">
        <v>217</v>
      </c>
      <c r="B180" t="s">
        <v>210</v>
      </c>
      <c r="C180" t="s">
        <v>47</v>
      </c>
      <c r="D180" t="s">
        <v>93</v>
      </c>
      <c r="E180" t="s">
        <v>40</v>
      </c>
      <c r="F180" t="s">
        <v>49</v>
      </c>
      <c r="G180" t="s">
        <v>30</v>
      </c>
      <c r="H180" t="s">
        <v>153</v>
      </c>
      <c r="I180">
        <v>20</v>
      </c>
      <c r="J180" t="s">
        <v>211</v>
      </c>
      <c r="K180" t="s">
        <v>155</v>
      </c>
      <c r="L180" t="s">
        <v>180</v>
      </c>
      <c r="M180" t="s">
        <v>181</v>
      </c>
      <c r="N180" s="3">
        <v>0</v>
      </c>
      <c r="O180" s="3">
        <v>13.82</v>
      </c>
      <c r="P180" s="3">
        <v>13.35</v>
      </c>
      <c r="Q180" s="3">
        <v>10.15</v>
      </c>
      <c r="R180" s="3">
        <v>14.03</v>
      </c>
      <c r="S180" s="3">
        <v>9.59</v>
      </c>
      <c r="T180" s="3" t="s">
        <v>59</v>
      </c>
      <c r="U180" s="3">
        <v>14.51</v>
      </c>
      <c r="V180" s="3" t="s">
        <v>59</v>
      </c>
      <c r="W180" s="3" t="s">
        <v>59</v>
      </c>
      <c r="X180" s="3" t="s">
        <v>59</v>
      </c>
      <c r="Y180" s="3" t="s">
        <v>59</v>
      </c>
    </row>
    <row r="181" spans="1:25" hidden="1" x14ac:dyDescent="0.3">
      <c r="A181">
        <v>217</v>
      </c>
      <c r="B181" t="s">
        <v>210</v>
      </c>
      <c r="C181" t="s">
        <v>47</v>
      </c>
      <c r="D181" t="s">
        <v>93</v>
      </c>
      <c r="E181" t="s">
        <v>40</v>
      </c>
      <c r="F181" t="s">
        <v>49</v>
      </c>
      <c r="G181" t="s">
        <v>30</v>
      </c>
      <c r="H181" t="s">
        <v>153</v>
      </c>
      <c r="I181">
        <v>20</v>
      </c>
      <c r="J181" t="s">
        <v>211</v>
      </c>
      <c r="K181" t="s">
        <v>155</v>
      </c>
      <c r="L181" t="s">
        <v>182</v>
      </c>
      <c r="M181" t="s">
        <v>183</v>
      </c>
      <c r="N181" s="3">
        <v>14.69</v>
      </c>
      <c r="O181" s="3">
        <v>31.1</v>
      </c>
      <c r="P181" s="3">
        <v>26.76</v>
      </c>
      <c r="Q181" s="3">
        <v>24.69</v>
      </c>
      <c r="R181" s="3">
        <v>19.29</v>
      </c>
      <c r="S181" s="3">
        <v>45.25</v>
      </c>
      <c r="T181" s="3">
        <v>37.25</v>
      </c>
      <c r="U181" s="3">
        <v>21.12</v>
      </c>
      <c r="V181" s="3">
        <v>40.06</v>
      </c>
      <c r="W181" s="3">
        <v>51.05</v>
      </c>
      <c r="X181" s="3">
        <v>17.8</v>
      </c>
      <c r="Y181" s="3">
        <v>51.96</v>
      </c>
    </row>
    <row r="182" spans="1:25" hidden="1" x14ac:dyDescent="0.3">
      <c r="A182" s="1">
        <v>218</v>
      </c>
      <c r="B182" s="1" t="s">
        <v>212</v>
      </c>
      <c r="C182" s="1" t="s">
        <v>26</v>
      </c>
      <c r="D182" s="1" t="s">
        <v>93</v>
      </c>
      <c r="E182" s="1" t="s">
        <v>28</v>
      </c>
      <c r="F182" s="1" t="s">
        <v>49</v>
      </c>
      <c r="G182" s="1" t="s">
        <v>41</v>
      </c>
      <c r="H182" s="1" t="s">
        <v>153</v>
      </c>
      <c r="I182" s="1">
        <v>172000</v>
      </c>
      <c r="J182" s="1" t="s">
        <v>213</v>
      </c>
      <c r="K182" s="1" t="s">
        <v>155</v>
      </c>
      <c r="L182" s="1" t="s">
        <v>34</v>
      </c>
      <c r="M182" s="1" t="s">
        <v>34</v>
      </c>
      <c r="N182" s="5">
        <v>123820.04</v>
      </c>
      <c r="O182" s="5">
        <v>143419.75</v>
      </c>
      <c r="P182" s="5">
        <v>150485.75</v>
      </c>
      <c r="Q182" s="5">
        <v>154601.59</v>
      </c>
      <c r="R182" s="5">
        <v>142618.62</v>
      </c>
      <c r="S182" s="5">
        <v>126471.65</v>
      </c>
      <c r="T182" s="5">
        <v>130528.88</v>
      </c>
      <c r="U182" s="5">
        <v>146327.63</v>
      </c>
      <c r="V182" s="5">
        <v>139469.85</v>
      </c>
      <c r="W182" s="5">
        <v>156103.54</v>
      </c>
      <c r="X182" s="5">
        <v>134763.39000000001</v>
      </c>
      <c r="Y182" s="5">
        <v>113367.97</v>
      </c>
    </row>
    <row r="183" spans="1:25" hidden="1" x14ac:dyDescent="0.3">
      <c r="A183">
        <v>218</v>
      </c>
      <c r="B183" t="s">
        <v>212</v>
      </c>
      <c r="C183" t="s">
        <v>26</v>
      </c>
      <c r="D183" t="s">
        <v>93</v>
      </c>
      <c r="E183" t="s">
        <v>28</v>
      </c>
      <c r="F183" t="s">
        <v>49</v>
      </c>
      <c r="G183" t="s">
        <v>41</v>
      </c>
      <c r="H183" t="s">
        <v>153</v>
      </c>
      <c r="I183">
        <v>172000</v>
      </c>
      <c r="J183" t="s">
        <v>213</v>
      </c>
      <c r="K183" t="s">
        <v>155</v>
      </c>
      <c r="L183" t="s">
        <v>172</v>
      </c>
      <c r="M183" t="s">
        <v>173</v>
      </c>
      <c r="N183" s="3">
        <v>53458</v>
      </c>
      <c r="O183" s="3">
        <v>67490.8</v>
      </c>
      <c r="P183" s="3">
        <v>71285.8</v>
      </c>
      <c r="Q183" s="3">
        <v>69944.600000000006</v>
      </c>
      <c r="R183" s="3">
        <v>66504.600000000006</v>
      </c>
      <c r="S183" s="3">
        <v>60391.6</v>
      </c>
      <c r="T183" s="3">
        <v>57969.9</v>
      </c>
      <c r="U183" s="3">
        <v>71249.600000000006</v>
      </c>
      <c r="V183" s="3">
        <v>64284.9</v>
      </c>
      <c r="W183" s="3">
        <v>76546.5</v>
      </c>
      <c r="X183" s="3">
        <v>66782.399999999994</v>
      </c>
      <c r="Y183" s="3">
        <v>54501</v>
      </c>
    </row>
    <row r="184" spans="1:25" hidden="1" x14ac:dyDescent="0.3">
      <c r="A184">
        <v>218</v>
      </c>
      <c r="B184" t="s">
        <v>212</v>
      </c>
      <c r="C184" t="s">
        <v>26</v>
      </c>
      <c r="D184" t="s">
        <v>93</v>
      </c>
      <c r="E184" t="s">
        <v>28</v>
      </c>
      <c r="F184" t="s">
        <v>49</v>
      </c>
      <c r="G184" t="s">
        <v>41</v>
      </c>
      <c r="H184" t="s">
        <v>153</v>
      </c>
      <c r="I184">
        <v>172000</v>
      </c>
      <c r="J184" t="s">
        <v>213</v>
      </c>
      <c r="K184" t="s">
        <v>155</v>
      </c>
      <c r="L184" t="s">
        <v>174</v>
      </c>
      <c r="M184" t="s">
        <v>175</v>
      </c>
      <c r="N184" s="3">
        <v>46170</v>
      </c>
      <c r="O184" s="3">
        <v>43320</v>
      </c>
      <c r="P184" s="3">
        <v>47310</v>
      </c>
      <c r="Q184" s="3">
        <v>46740</v>
      </c>
      <c r="R184" s="3">
        <v>42180</v>
      </c>
      <c r="S184" s="3">
        <v>39900</v>
      </c>
      <c r="T184" s="3">
        <v>46740</v>
      </c>
      <c r="U184" s="3">
        <v>46740</v>
      </c>
      <c r="V184" s="3">
        <v>47880</v>
      </c>
      <c r="W184" s="3">
        <v>49020</v>
      </c>
      <c r="X184" s="3">
        <v>42100</v>
      </c>
      <c r="Y184" s="3">
        <v>42180</v>
      </c>
    </row>
    <row r="185" spans="1:25" hidden="1" x14ac:dyDescent="0.3">
      <c r="A185">
        <v>218</v>
      </c>
      <c r="B185" t="s">
        <v>212</v>
      </c>
      <c r="C185" t="s">
        <v>26</v>
      </c>
      <c r="D185" t="s">
        <v>93</v>
      </c>
      <c r="E185" t="s">
        <v>28</v>
      </c>
      <c r="F185" t="s">
        <v>49</v>
      </c>
      <c r="G185" t="s">
        <v>41</v>
      </c>
      <c r="H185" t="s">
        <v>153</v>
      </c>
      <c r="I185">
        <v>172000</v>
      </c>
      <c r="J185" t="s">
        <v>213</v>
      </c>
      <c r="K185" t="s">
        <v>155</v>
      </c>
      <c r="L185" t="s">
        <v>176</v>
      </c>
      <c r="M185" t="s">
        <v>177</v>
      </c>
      <c r="N185" s="3">
        <v>4080</v>
      </c>
      <c r="O185" s="3">
        <v>4920</v>
      </c>
      <c r="P185" s="3">
        <v>4620</v>
      </c>
      <c r="Q185" s="3">
        <v>4620</v>
      </c>
      <c r="R185" s="3">
        <v>3900</v>
      </c>
      <c r="S185" s="3">
        <v>3960</v>
      </c>
      <c r="T185" s="3">
        <v>4380</v>
      </c>
      <c r="U185" s="3">
        <v>4080</v>
      </c>
      <c r="V185" s="3">
        <v>4020</v>
      </c>
      <c r="W185" s="3">
        <v>4260</v>
      </c>
      <c r="X185" s="3">
        <v>3660</v>
      </c>
      <c r="Y185" s="3">
        <v>3600</v>
      </c>
    </row>
    <row r="186" spans="1:25" hidden="1" x14ac:dyDescent="0.3">
      <c r="A186">
        <v>218</v>
      </c>
      <c r="B186" t="s">
        <v>212</v>
      </c>
      <c r="C186" t="s">
        <v>26</v>
      </c>
      <c r="D186" t="s">
        <v>93</v>
      </c>
      <c r="E186" t="s">
        <v>28</v>
      </c>
      <c r="F186" t="s">
        <v>49</v>
      </c>
      <c r="G186" t="s">
        <v>41</v>
      </c>
      <c r="H186" t="s">
        <v>153</v>
      </c>
      <c r="I186">
        <v>172000</v>
      </c>
      <c r="J186" t="s">
        <v>213</v>
      </c>
      <c r="K186" t="s">
        <v>155</v>
      </c>
      <c r="L186" t="s">
        <v>178</v>
      </c>
      <c r="M186" t="s">
        <v>179</v>
      </c>
      <c r="N186" s="3">
        <v>11717</v>
      </c>
      <c r="O186" s="3">
        <v>17697</v>
      </c>
      <c r="P186" s="3">
        <v>16956</v>
      </c>
      <c r="Q186" s="3">
        <v>21654</v>
      </c>
      <c r="R186" s="3">
        <v>20638</v>
      </c>
      <c r="S186" s="3">
        <v>15532</v>
      </c>
      <c r="T186" s="3">
        <v>18604</v>
      </c>
      <c r="U186" s="3">
        <v>21705</v>
      </c>
      <c r="V186" s="3">
        <v>20556</v>
      </c>
      <c r="W186" s="3">
        <v>24510</v>
      </c>
      <c r="X186" s="3">
        <v>20253</v>
      </c>
      <c r="Y186" s="3">
        <v>10775</v>
      </c>
    </row>
    <row r="187" spans="1:25" hidden="1" x14ac:dyDescent="0.3">
      <c r="A187">
        <v>218</v>
      </c>
      <c r="B187" t="s">
        <v>212</v>
      </c>
      <c r="C187" t="s">
        <v>26</v>
      </c>
      <c r="D187" t="s">
        <v>93</v>
      </c>
      <c r="E187" t="s">
        <v>28</v>
      </c>
      <c r="F187" t="s">
        <v>49</v>
      </c>
      <c r="G187" t="s">
        <v>41</v>
      </c>
      <c r="H187" t="s">
        <v>153</v>
      </c>
      <c r="I187">
        <v>172000</v>
      </c>
      <c r="J187" t="s">
        <v>213</v>
      </c>
      <c r="K187" t="s">
        <v>155</v>
      </c>
      <c r="L187" t="s">
        <v>180</v>
      </c>
      <c r="M187" t="s">
        <v>181</v>
      </c>
      <c r="N187" s="3">
        <v>6243</v>
      </c>
      <c r="O187" s="3">
        <v>7642</v>
      </c>
      <c r="P187" s="3">
        <v>7748</v>
      </c>
      <c r="Q187" s="3">
        <v>8843</v>
      </c>
      <c r="R187" s="3">
        <v>6874</v>
      </c>
      <c r="S187" s="3">
        <v>4290</v>
      </c>
      <c r="T187" s="3">
        <v>0</v>
      </c>
      <c r="U187" s="3">
        <v>0</v>
      </c>
      <c r="V187" s="3">
        <v>120</v>
      </c>
      <c r="W187" s="3">
        <v>120</v>
      </c>
      <c r="X187" s="3">
        <v>600</v>
      </c>
      <c r="Y187" s="3">
        <v>600</v>
      </c>
    </row>
    <row r="188" spans="1:25" hidden="1" x14ac:dyDescent="0.3">
      <c r="A188">
        <v>218</v>
      </c>
      <c r="B188" t="s">
        <v>212</v>
      </c>
      <c r="C188" t="s">
        <v>26</v>
      </c>
      <c r="D188" t="s">
        <v>93</v>
      </c>
      <c r="E188" t="s">
        <v>28</v>
      </c>
      <c r="F188" t="s">
        <v>49</v>
      </c>
      <c r="G188" t="s">
        <v>41</v>
      </c>
      <c r="H188" t="s">
        <v>153</v>
      </c>
      <c r="I188">
        <v>172000</v>
      </c>
      <c r="J188" t="s">
        <v>213</v>
      </c>
      <c r="K188" t="s">
        <v>155</v>
      </c>
      <c r="L188" t="s">
        <v>182</v>
      </c>
      <c r="M188" t="s">
        <v>183</v>
      </c>
      <c r="N188" s="3">
        <v>2152</v>
      </c>
      <c r="O188" s="3">
        <v>2350</v>
      </c>
      <c r="P188" s="3">
        <v>2566</v>
      </c>
      <c r="Q188" s="3">
        <v>2800</v>
      </c>
      <c r="R188" s="3">
        <v>2522</v>
      </c>
      <c r="S188" s="3">
        <v>2398</v>
      </c>
      <c r="T188" s="3">
        <v>2835</v>
      </c>
      <c r="U188" s="3">
        <v>2553</v>
      </c>
      <c r="V188" s="3">
        <v>2609</v>
      </c>
      <c r="W188" s="3">
        <v>1647.08</v>
      </c>
      <c r="X188" s="3">
        <v>1368</v>
      </c>
      <c r="Y188" s="3">
        <v>1712</v>
      </c>
    </row>
    <row r="189" spans="1:25" hidden="1" x14ac:dyDescent="0.3">
      <c r="A189" s="1">
        <v>225</v>
      </c>
      <c r="B189" s="1" t="s">
        <v>232</v>
      </c>
      <c r="C189" s="1" t="s">
        <v>26</v>
      </c>
      <c r="D189" s="1" t="s">
        <v>93</v>
      </c>
      <c r="E189" s="1" t="s">
        <v>40</v>
      </c>
      <c r="F189" s="1" t="s">
        <v>49</v>
      </c>
      <c r="G189" s="1" t="s">
        <v>30</v>
      </c>
      <c r="H189" s="1" t="s">
        <v>153</v>
      </c>
      <c r="I189" s="1">
        <v>1</v>
      </c>
      <c r="J189" s="1" t="s">
        <v>233</v>
      </c>
      <c r="K189" s="1" t="s">
        <v>223</v>
      </c>
      <c r="L189" s="1" t="s">
        <v>34</v>
      </c>
      <c r="M189" s="1" t="s">
        <v>34</v>
      </c>
      <c r="N189" s="4">
        <v>0</v>
      </c>
      <c r="O189" s="3"/>
      <c r="P189" s="4">
        <v>0</v>
      </c>
      <c r="Q189" s="5">
        <v>19</v>
      </c>
      <c r="R189" s="5">
        <v>17</v>
      </c>
      <c r="S189" s="5">
        <v>18</v>
      </c>
      <c r="T189" s="5">
        <v>26</v>
      </c>
      <c r="U189" s="5">
        <v>28</v>
      </c>
      <c r="V189" s="5">
        <v>26</v>
      </c>
      <c r="W189" s="5">
        <v>21</v>
      </c>
      <c r="X189" s="5">
        <v>20</v>
      </c>
      <c r="Y189" s="5">
        <v>22</v>
      </c>
    </row>
    <row r="190" spans="1:25" hidden="1" x14ac:dyDescent="0.3">
      <c r="A190">
        <v>225</v>
      </c>
      <c r="B190" t="s">
        <v>232</v>
      </c>
      <c r="C190" t="s">
        <v>26</v>
      </c>
      <c r="D190" t="s">
        <v>93</v>
      </c>
      <c r="E190" t="s">
        <v>40</v>
      </c>
      <c r="F190" t="s">
        <v>49</v>
      </c>
      <c r="G190" t="s">
        <v>30</v>
      </c>
      <c r="H190" t="s">
        <v>153</v>
      </c>
      <c r="I190">
        <v>1</v>
      </c>
      <c r="J190" t="s">
        <v>233</v>
      </c>
      <c r="K190" t="s">
        <v>223</v>
      </c>
      <c r="L190" t="s">
        <v>172</v>
      </c>
      <c r="M190" t="s">
        <v>173</v>
      </c>
      <c r="N190" s="3">
        <v>0</v>
      </c>
      <c r="O190" s="3">
        <v>9</v>
      </c>
      <c r="P190" s="3">
        <v>0</v>
      </c>
      <c r="Q190" s="3">
        <v>7</v>
      </c>
      <c r="R190" s="3">
        <v>5</v>
      </c>
      <c r="S190" s="3">
        <v>6</v>
      </c>
      <c r="T190" s="3">
        <v>9</v>
      </c>
      <c r="U190" s="3">
        <v>11</v>
      </c>
      <c r="V190" s="3">
        <v>8</v>
      </c>
      <c r="W190" s="3">
        <v>5</v>
      </c>
      <c r="X190" s="3">
        <v>5</v>
      </c>
      <c r="Y190" s="3">
        <v>6</v>
      </c>
    </row>
    <row r="191" spans="1:25" hidden="1" x14ac:dyDescent="0.3">
      <c r="A191">
        <v>225</v>
      </c>
      <c r="B191" t="s">
        <v>232</v>
      </c>
      <c r="C191" t="s">
        <v>26</v>
      </c>
      <c r="D191" t="s">
        <v>93</v>
      </c>
      <c r="E191" t="s">
        <v>40</v>
      </c>
      <c r="F191" t="s">
        <v>49</v>
      </c>
      <c r="G191" t="s">
        <v>30</v>
      </c>
      <c r="H191" t="s">
        <v>153</v>
      </c>
      <c r="I191">
        <v>1</v>
      </c>
      <c r="J191" t="s">
        <v>233</v>
      </c>
      <c r="K191" t="s">
        <v>223</v>
      </c>
      <c r="L191" t="s">
        <v>174</v>
      </c>
      <c r="M191" t="s">
        <v>175</v>
      </c>
      <c r="N191" s="3">
        <v>0</v>
      </c>
      <c r="O191" s="3">
        <v>2</v>
      </c>
      <c r="P191" s="3">
        <v>0</v>
      </c>
      <c r="Q191" s="3"/>
      <c r="R191" s="3">
        <v>0</v>
      </c>
      <c r="S191" s="3">
        <v>0</v>
      </c>
      <c r="T191" s="3">
        <v>5</v>
      </c>
      <c r="U191" s="3">
        <v>4</v>
      </c>
      <c r="V191" s="3">
        <v>5</v>
      </c>
      <c r="W191" s="3">
        <v>3</v>
      </c>
      <c r="X191" s="3">
        <v>3</v>
      </c>
      <c r="Y191" s="3">
        <v>4</v>
      </c>
    </row>
    <row r="192" spans="1:25" hidden="1" x14ac:dyDescent="0.3">
      <c r="A192">
        <v>225</v>
      </c>
      <c r="B192" t="s">
        <v>232</v>
      </c>
      <c r="C192" t="s">
        <v>26</v>
      </c>
      <c r="D192" t="s">
        <v>93</v>
      </c>
      <c r="E192" t="s">
        <v>40</v>
      </c>
      <c r="F192" t="s">
        <v>49</v>
      </c>
      <c r="G192" t="s">
        <v>30</v>
      </c>
      <c r="H192" t="s">
        <v>153</v>
      </c>
      <c r="I192">
        <v>1</v>
      </c>
      <c r="J192" t="s">
        <v>233</v>
      </c>
      <c r="K192" t="s">
        <v>223</v>
      </c>
      <c r="L192" t="s">
        <v>176</v>
      </c>
      <c r="M192" t="s">
        <v>177</v>
      </c>
      <c r="N192" s="3" t="s">
        <v>59</v>
      </c>
      <c r="O192" s="3" t="s">
        <v>59</v>
      </c>
      <c r="P192" s="3" t="s">
        <v>59</v>
      </c>
      <c r="Q192" s="3" t="s">
        <v>59</v>
      </c>
      <c r="R192" s="3" t="s">
        <v>59</v>
      </c>
      <c r="S192" s="3" t="s">
        <v>59</v>
      </c>
      <c r="T192" s="3" t="s">
        <v>59</v>
      </c>
      <c r="U192" s="3" t="s">
        <v>59</v>
      </c>
      <c r="V192" s="3" t="s">
        <v>59</v>
      </c>
      <c r="W192" s="3" t="s">
        <v>59</v>
      </c>
      <c r="X192" s="3" t="s">
        <v>59</v>
      </c>
      <c r="Y192" s="3" t="s">
        <v>59</v>
      </c>
    </row>
    <row r="193" spans="1:25" hidden="1" x14ac:dyDescent="0.3">
      <c r="A193">
        <v>225</v>
      </c>
      <c r="B193" t="s">
        <v>232</v>
      </c>
      <c r="C193" t="s">
        <v>26</v>
      </c>
      <c r="D193" t="s">
        <v>93</v>
      </c>
      <c r="E193" t="s">
        <v>40</v>
      </c>
      <c r="F193" t="s">
        <v>49</v>
      </c>
      <c r="G193" t="s">
        <v>30</v>
      </c>
      <c r="H193" t="s">
        <v>153</v>
      </c>
      <c r="I193">
        <v>1</v>
      </c>
      <c r="J193" t="s">
        <v>233</v>
      </c>
      <c r="K193" t="s">
        <v>223</v>
      </c>
      <c r="L193" t="s">
        <v>178</v>
      </c>
      <c r="M193" t="s">
        <v>179</v>
      </c>
      <c r="N193" s="3">
        <v>0</v>
      </c>
      <c r="O193" s="3">
        <v>12</v>
      </c>
      <c r="P193" s="3">
        <v>0</v>
      </c>
      <c r="Q193" s="3">
        <v>10</v>
      </c>
      <c r="R193" s="3">
        <v>10</v>
      </c>
      <c r="S193" s="3">
        <v>10</v>
      </c>
      <c r="T193" s="3">
        <v>10</v>
      </c>
      <c r="U193" s="3">
        <v>10</v>
      </c>
      <c r="V193" s="3">
        <v>10</v>
      </c>
      <c r="W193" s="3">
        <v>10</v>
      </c>
      <c r="X193" s="3">
        <v>10</v>
      </c>
      <c r="Y193" s="3">
        <v>10</v>
      </c>
    </row>
    <row r="194" spans="1:25" hidden="1" x14ac:dyDescent="0.3">
      <c r="A194">
        <v>225</v>
      </c>
      <c r="B194" t="s">
        <v>232</v>
      </c>
      <c r="C194" t="s">
        <v>26</v>
      </c>
      <c r="D194" t="s">
        <v>93</v>
      </c>
      <c r="E194" t="s">
        <v>40</v>
      </c>
      <c r="F194" t="s">
        <v>49</v>
      </c>
      <c r="G194" t="s">
        <v>30</v>
      </c>
      <c r="H194" t="s">
        <v>153</v>
      </c>
      <c r="I194">
        <v>1</v>
      </c>
      <c r="J194" t="s">
        <v>233</v>
      </c>
      <c r="K194" t="s">
        <v>223</v>
      </c>
      <c r="L194" t="s">
        <v>180</v>
      </c>
      <c r="M194" t="s">
        <v>181</v>
      </c>
      <c r="N194" s="3">
        <v>0</v>
      </c>
      <c r="O194" s="3">
        <v>1</v>
      </c>
      <c r="P194" s="3">
        <v>0</v>
      </c>
      <c r="Q194" s="3">
        <v>1</v>
      </c>
      <c r="R194" s="3">
        <v>1</v>
      </c>
      <c r="S194" s="3">
        <v>1</v>
      </c>
      <c r="T194" s="3">
        <v>1</v>
      </c>
      <c r="U194" s="3">
        <v>2</v>
      </c>
      <c r="V194" s="3">
        <v>2</v>
      </c>
      <c r="W194" s="3">
        <v>2</v>
      </c>
      <c r="X194" s="3">
        <v>1</v>
      </c>
      <c r="Y194" s="3">
        <v>1</v>
      </c>
    </row>
    <row r="195" spans="1:25" hidden="1" x14ac:dyDescent="0.3">
      <c r="A195">
        <v>225</v>
      </c>
      <c r="B195" t="s">
        <v>232</v>
      </c>
      <c r="C195" t="s">
        <v>26</v>
      </c>
      <c r="D195" t="s">
        <v>93</v>
      </c>
      <c r="E195" t="s">
        <v>40</v>
      </c>
      <c r="F195" t="s">
        <v>49</v>
      </c>
      <c r="G195" t="s">
        <v>30</v>
      </c>
      <c r="H195" t="s">
        <v>153</v>
      </c>
      <c r="I195">
        <v>1</v>
      </c>
      <c r="J195" t="s">
        <v>233</v>
      </c>
      <c r="K195" t="s">
        <v>223</v>
      </c>
      <c r="L195" t="s">
        <v>182</v>
      </c>
      <c r="M195" t="s">
        <v>183</v>
      </c>
      <c r="N195" s="3">
        <v>0</v>
      </c>
      <c r="O195" s="3">
        <v>1</v>
      </c>
      <c r="P195" s="3">
        <v>0</v>
      </c>
      <c r="Q195" s="3">
        <v>1</v>
      </c>
      <c r="R195" s="3">
        <v>1</v>
      </c>
      <c r="S195" s="3">
        <v>1</v>
      </c>
      <c r="T195" s="3">
        <v>1</v>
      </c>
      <c r="U195" s="3">
        <v>1</v>
      </c>
      <c r="V195" s="3">
        <v>1</v>
      </c>
      <c r="W195" s="3">
        <v>1</v>
      </c>
      <c r="X195" s="3">
        <v>1</v>
      </c>
      <c r="Y195" s="3">
        <v>1</v>
      </c>
    </row>
    <row r="196" spans="1:25" hidden="1" x14ac:dyDescent="0.3">
      <c r="A196" s="1">
        <v>239</v>
      </c>
      <c r="B196" s="1" t="s">
        <v>272</v>
      </c>
      <c r="C196" s="1" t="s">
        <v>26</v>
      </c>
      <c r="D196" s="1" t="s">
        <v>273</v>
      </c>
      <c r="E196" s="1" t="s">
        <v>116</v>
      </c>
      <c r="F196" s="1" t="s">
        <v>49</v>
      </c>
      <c r="G196" s="1" t="s">
        <v>30</v>
      </c>
      <c r="H196" s="1" t="s">
        <v>153</v>
      </c>
      <c r="I196" s="1" t="s">
        <v>117</v>
      </c>
      <c r="J196" s="1" t="s">
        <v>274</v>
      </c>
      <c r="K196" s="1" t="s">
        <v>223</v>
      </c>
      <c r="L196" s="1" t="s">
        <v>34</v>
      </c>
      <c r="M196" s="1" t="s">
        <v>34</v>
      </c>
      <c r="N196" s="8">
        <v>44</v>
      </c>
      <c r="O196" s="8">
        <v>43</v>
      </c>
      <c r="P196" s="8">
        <v>43</v>
      </c>
      <c r="Q196" s="8">
        <v>43</v>
      </c>
      <c r="R196" s="8">
        <v>41</v>
      </c>
      <c r="S196" s="8">
        <v>42</v>
      </c>
      <c r="T196" s="8">
        <v>41</v>
      </c>
      <c r="U196" s="8">
        <v>42</v>
      </c>
      <c r="V196" s="8">
        <v>40</v>
      </c>
      <c r="W196" s="8">
        <v>42</v>
      </c>
      <c r="X196" s="8">
        <v>0</v>
      </c>
      <c r="Y196" s="8">
        <v>33</v>
      </c>
    </row>
    <row r="197" spans="1:25" hidden="1" x14ac:dyDescent="0.3">
      <c r="A197">
        <v>239</v>
      </c>
      <c r="B197" t="s">
        <v>272</v>
      </c>
      <c r="C197" t="s">
        <v>26</v>
      </c>
      <c r="D197" t="s">
        <v>273</v>
      </c>
      <c r="E197" t="s">
        <v>116</v>
      </c>
      <c r="F197" t="s">
        <v>49</v>
      </c>
      <c r="G197" t="s">
        <v>30</v>
      </c>
      <c r="H197" t="s">
        <v>153</v>
      </c>
      <c r="I197" t="s">
        <v>117</v>
      </c>
      <c r="J197" t="s">
        <v>274</v>
      </c>
      <c r="K197" t="s">
        <v>223</v>
      </c>
      <c r="L197" t="s">
        <v>275</v>
      </c>
      <c r="M197" t="s">
        <v>276</v>
      </c>
      <c r="N197" s="3">
        <v>2</v>
      </c>
      <c r="O197" s="3">
        <v>2</v>
      </c>
      <c r="P197" s="3">
        <v>2</v>
      </c>
      <c r="Q197" s="3">
        <v>2</v>
      </c>
      <c r="R197" s="3">
        <v>1</v>
      </c>
      <c r="S197" s="3">
        <v>1</v>
      </c>
      <c r="T197" s="3">
        <v>1</v>
      </c>
      <c r="U197" s="3">
        <v>3</v>
      </c>
      <c r="V197" s="3">
        <v>3</v>
      </c>
      <c r="W197" s="3">
        <v>4</v>
      </c>
      <c r="X197" s="3" t="s">
        <v>59</v>
      </c>
      <c r="Y197" s="3" t="s">
        <v>59</v>
      </c>
    </row>
    <row r="198" spans="1:25" hidden="1" x14ac:dyDescent="0.3">
      <c r="A198">
        <v>239</v>
      </c>
      <c r="B198" t="s">
        <v>272</v>
      </c>
      <c r="C198" t="s">
        <v>26</v>
      </c>
      <c r="D198" t="s">
        <v>273</v>
      </c>
      <c r="E198" t="s">
        <v>116</v>
      </c>
      <c r="F198" t="s">
        <v>49</v>
      </c>
      <c r="G198" t="s">
        <v>30</v>
      </c>
      <c r="H198" t="s">
        <v>153</v>
      </c>
      <c r="I198" t="s">
        <v>117</v>
      </c>
      <c r="J198" t="s">
        <v>274</v>
      </c>
      <c r="K198" t="s">
        <v>223</v>
      </c>
      <c r="L198" t="s">
        <v>277</v>
      </c>
      <c r="M198" t="s">
        <v>278</v>
      </c>
      <c r="N198" s="3">
        <v>12</v>
      </c>
      <c r="O198" s="3">
        <v>12</v>
      </c>
      <c r="P198" s="3">
        <v>12</v>
      </c>
      <c r="Q198" s="3">
        <v>12</v>
      </c>
      <c r="R198" s="3">
        <v>14</v>
      </c>
      <c r="S198" s="3">
        <v>15</v>
      </c>
      <c r="T198" s="3">
        <v>14</v>
      </c>
      <c r="U198" s="3">
        <v>14</v>
      </c>
      <c r="V198" s="3">
        <v>11</v>
      </c>
      <c r="W198" s="3">
        <v>12</v>
      </c>
      <c r="X198" s="3" t="s">
        <v>59</v>
      </c>
      <c r="Y198" s="3" t="s">
        <v>59</v>
      </c>
    </row>
    <row r="199" spans="1:25" hidden="1" x14ac:dyDescent="0.3">
      <c r="A199">
        <v>239</v>
      </c>
      <c r="B199" t="s">
        <v>272</v>
      </c>
      <c r="C199" t="s">
        <v>26</v>
      </c>
      <c r="D199" t="s">
        <v>273</v>
      </c>
      <c r="E199" t="s">
        <v>116</v>
      </c>
      <c r="F199" t="s">
        <v>49</v>
      </c>
      <c r="G199" t="s">
        <v>30</v>
      </c>
      <c r="H199" t="s">
        <v>153</v>
      </c>
      <c r="I199" t="s">
        <v>117</v>
      </c>
      <c r="J199" t="s">
        <v>274</v>
      </c>
      <c r="K199" t="s">
        <v>223</v>
      </c>
      <c r="L199" t="s">
        <v>279</v>
      </c>
      <c r="M199" t="s">
        <v>280</v>
      </c>
      <c r="N199" s="3">
        <v>4</v>
      </c>
      <c r="O199" s="3">
        <v>3</v>
      </c>
      <c r="P199" s="3">
        <v>2</v>
      </c>
      <c r="Q199" s="3">
        <v>2</v>
      </c>
      <c r="R199" s="3"/>
      <c r="S199" s="3">
        <v>0</v>
      </c>
      <c r="T199" s="3">
        <v>0</v>
      </c>
      <c r="U199" s="3">
        <v>0</v>
      </c>
      <c r="V199" s="3">
        <v>1</v>
      </c>
      <c r="W199" s="3">
        <v>1</v>
      </c>
      <c r="X199" s="3" t="s">
        <v>59</v>
      </c>
      <c r="Y199" s="3" t="s">
        <v>59</v>
      </c>
    </row>
    <row r="200" spans="1:25" hidden="1" x14ac:dyDescent="0.3">
      <c r="A200">
        <v>239</v>
      </c>
      <c r="B200" t="s">
        <v>272</v>
      </c>
      <c r="C200" t="s">
        <v>26</v>
      </c>
      <c r="D200" t="s">
        <v>273</v>
      </c>
      <c r="E200" t="s">
        <v>116</v>
      </c>
      <c r="F200" t="s">
        <v>49</v>
      </c>
      <c r="G200" t="s">
        <v>30</v>
      </c>
      <c r="H200" t="s">
        <v>153</v>
      </c>
      <c r="I200" t="s">
        <v>117</v>
      </c>
      <c r="J200" t="s">
        <v>274</v>
      </c>
      <c r="K200" t="s">
        <v>223</v>
      </c>
      <c r="L200" t="s">
        <v>281</v>
      </c>
      <c r="M200" t="s">
        <v>282</v>
      </c>
      <c r="N200" s="3">
        <v>23</v>
      </c>
      <c r="O200" s="3">
        <v>23</v>
      </c>
      <c r="P200" s="3">
        <v>23</v>
      </c>
      <c r="Q200" s="3">
        <v>23</v>
      </c>
      <c r="R200" s="3">
        <v>23</v>
      </c>
      <c r="S200" s="3">
        <v>23</v>
      </c>
      <c r="T200" s="3">
        <v>23</v>
      </c>
      <c r="U200" s="3">
        <v>22</v>
      </c>
      <c r="V200" s="3">
        <v>22</v>
      </c>
      <c r="W200" s="3">
        <v>22</v>
      </c>
      <c r="X200" s="3" t="s">
        <v>59</v>
      </c>
      <c r="Y200" s="3" t="s">
        <v>59</v>
      </c>
    </row>
    <row r="201" spans="1:25" hidden="1" x14ac:dyDescent="0.3">
      <c r="A201">
        <v>239</v>
      </c>
      <c r="B201" t="s">
        <v>272</v>
      </c>
      <c r="C201" t="s">
        <v>26</v>
      </c>
      <c r="D201" t="s">
        <v>273</v>
      </c>
      <c r="E201" t="s">
        <v>116</v>
      </c>
      <c r="F201" t="s">
        <v>49</v>
      </c>
      <c r="G201" t="s">
        <v>30</v>
      </c>
      <c r="H201" t="s">
        <v>153</v>
      </c>
      <c r="I201" t="s">
        <v>117</v>
      </c>
      <c r="J201" t="s">
        <v>274</v>
      </c>
      <c r="K201" t="s">
        <v>223</v>
      </c>
      <c r="L201" t="s">
        <v>283</v>
      </c>
      <c r="M201" t="s">
        <v>284</v>
      </c>
      <c r="N201" s="3">
        <v>3</v>
      </c>
      <c r="O201" s="3">
        <v>3</v>
      </c>
      <c r="P201" s="3">
        <v>4</v>
      </c>
      <c r="Q201" s="3">
        <v>4</v>
      </c>
      <c r="R201" s="3">
        <v>3</v>
      </c>
      <c r="S201" s="3">
        <v>3</v>
      </c>
      <c r="T201" s="3">
        <v>3</v>
      </c>
      <c r="U201" s="3">
        <v>3</v>
      </c>
      <c r="V201" s="3">
        <v>3</v>
      </c>
      <c r="W201" s="3">
        <v>3</v>
      </c>
      <c r="X201" s="3" t="s">
        <v>59</v>
      </c>
      <c r="Y201" s="3" t="s">
        <v>59</v>
      </c>
    </row>
    <row r="202" spans="1:25" hidden="1" x14ac:dyDescent="0.3">
      <c r="A202" s="1">
        <v>241</v>
      </c>
      <c r="B202" s="1" t="s">
        <v>287</v>
      </c>
      <c r="C202" s="1" t="s">
        <v>26</v>
      </c>
      <c r="D202" s="1" t="s">
        <v>273</v>
      </c>
      <c r="E202" s="1" t="s">
        <v>28</v>
      </c>
      <c r="F202" s="1" t="s">
        <v>49</v>
      </c>
      <c r="G202" s="1" t="s">
        <v>30</v>
      </c>
      <c r="H202" s="1" t="s">
        <v>31</v>
      </c>
      <c r="I202" s="1"/>
      <c r="J202" s="1" t="s">
        <v>288</v>
      </c>
      <c r="K202" s="1" t="s">
        <v>33</v>
      </c>
      <c r="L202" s="1" t="s">
        <v>33</v>
      </c>
      <c r="M202" s="1" t="s">
        <v>34</v>
      </c>
      <c r="N202" s="3"/>
      <c r="O202" s="3"/>
      <c r="P202" s="3"/>
      <c r="Q202" s="4">
        <v>100</v>
      </c>
      <c r="R202" s="4">
        <v>100</v>
      </c>
      <c r="S202" s="4">
        <v>100</v>
      </c>
      <c r="T202" s="4">
        <v>100</v>
      </c>
      <c r="U202" s="4">
        <v>100</v>
      </c>
      <c r="V202" s="4">
        <v>100</v>
      </c>
      <c r="W202" s="4">
        <v>100</v>
      </c>
      <c r="X202" s="4">
        <v>100</v>
      </c>
      <c r="Y202" s="4">
        <v>100</v>
      </c>
    </row>
    <row r="203" spans="1:25" hidden="1" x14ac:dyDescent="0.3">
      <c r="A203" s="1">
        <v>434</v>
      </c>
      <c r="B203" s="1" t="s">
        <v>799</v>
      </c>
      <c r="C203" s="1" t="s">
        <v>26</v>
      </c>
      <c r="D203" s="1" t="s">
        <v>93</v>
      </c>
      <c r="E203" s="1" t="s">
        <v>40</v>
      </c>
      <c r="F203" s="1" t="s">
        <v>49</v>
      </c>
      <c r="G203" s="1" t="s">
        <v>41</v>
      </c>
      <c r="H203" s="1" t="s">
        <v>153</v>
      </c>
      <c r="I203" s="1">
        <v>200</v>
      </c>
      <c r="J203" s="1" t="s">
        <v>800</v>
      </c>
      <c r="K203" s="1" t="s">
        <v>155</v>
      </c>
      <c r="L203" s="1" t="s">
        <v>34</v>
      </c>
      <c r="M203" s="1" t="s">
        <v>34</v>
      </c>
      <c r="N203" s="3"/>
      <c r="O203" s="7">
        <v>285.14999999999998</v>
      </c>
      <c r="P203" s="7">
        <v>4524.46</v>
      </c>
      <c r="Q203" s="5">
        <v>109.73</v>
      </c>
      <c r="R203" s="5">
        <v>84.75</v>
      </c>
      <c r="S203" s="7">
        <v>312.11</v>
      </c>
      <c r="T203" s="5">
        <v>130.58000000000001</v>
      </c>
      <c r="U203" s="5">
        <v>12.6</v>
      </c>
      <c r="V203" s="5">
        <v>126.74</v>
      </c>
      <c r="W203" s="5">
        <v>53.29</v>
      </c>
      <c r="X203" s="5">
        <v>71.680000000000007</v>
      </c>
      <c r="Y203" s="7">
        <v>2072.4699999999998</v>
      </c>
    </row>
    <row r="204" spans="1:25" hidden="1" x14ac:dyDescent="0.3">
      <c r="A204">
        <v>434</v>
      </c>
      <c r="B204" t="s">
        <v>799</v>
      </c>
      <c r="C204" t="s">
        <v>26</v>
      </c>
      <c r="D204" t="s">
        <v>93</v>
      </c>
      <c r="E204" t="s">
        <v>40</v>
      </c>
      <c r="F204" t="s">
        <v>49</v>
      </c>
      <c r="G204" t="s">
        <v>41</v>
      </c>
      <c r="H204" t="s">
        <v>153</v>
      </c>
      <c r="I204">
        <v>200</v>
      </c>
      <c r="J204" t="s">
        <v>800</v>
      </c>
      <c r="K204" t="s">
        <v>155</v>
      </c>
      <c r="L204" t="s">
        <v>172</v>
      </c>
      <c r="M204" t="s">
        <v>173</v>
      </c>
      <c r="N204" s="3">
        <v>139.15</v>
      </c>
      <c r="O204" s="3">
        <v>125.39</v>
      </c>
      <c r="P204" s="3">
        <v>4006.2</v>
      </c>
      <c r="Q204" s="3">
        <v>83.72</v>
      </c>
      <c r="R204" s="3">
        <v>63.91</v>
      </c>
      <c r="S204" s="3">
        <v>310.39999999999998</v>
      </c>
      <c r="T204" s="3">
        <v>18.829999999999998</v>
      </c>
      <c r="U204" s="3">
        <v>9.82</v>
      </c>
      <c r="V204" s="3">
        <v>118.96</v>
      </c>
      <c r="W204" s="3">
        <v>50.05</v>
      </c>
      <c r="X204" s="3">
        <v>58.71</v>
      </c>
      <c r="Y204" s="3">
        <v>2071.7199999999998</v>
      </c>
    </row>
    <row r="205" spans="1:25" hidden="1" x14ac:dyDescent="0.3">
      <c r="A205">
        <v>434</v>
      </c>
      <c r="B205" t="s">
        <v>799</v>
      </c>
      <c r="C205" t="s">
        <v>26</v>
      </c>
      <c r="D205" t="s">
        <v>93</v>
      </c>
      <c r="E205" t="s">
        <v>40</v>
      </c>
      <c r="F205" t="s">
        <v>49</v>
      </c>
      <c r="G205" t="s">
        <v>41</v>
      </c>
      <c r="H205" t="s">
        <v>153</v>
      </c>
      <c r="I205">
        <v>200</v>
      </c>
      <c r="J205" t="s">
        <v>800</v>
      </c>
      <c r="K205" t="s">
        <v>155</v>
      </c>
      <c r="L205" t="s">
        <v>174</v>
      </c>
      <c r="M205" t="s">
        <v>175</v>
      </c>
      <c r="N205" s="3">
        <v>0.48</v>
      </c>
      <c r="O205" s="3">
        <v>142.26</v>
      </c>
      <c r="P205" s="3">
        <v>68.459999999999994</v>
      </c>
      <c r="Q205" s="3">
        <v>2.5099999999999998</v>
      </c>
      <c r="R205" s="3">
        <v>1.34</v>
      </c>
      <c r="S205" s="3">
        <v>1.71</v>
      </c>
      <c r="T205" s="3">
        <v>111.75</v>
      </c>
      <c r="U205" s="3">
        <v>1.08</v>
      </c>
      <c r="V205" s="3">
        <v>1.18</v>
      </c>
      <c r="W205" s="3">
        <v>1.84</v>
      </c>
      <c r="X205" s="3">
        <v>1.17</v>
      </c>
      <c r="Y205" s="3">
        <v>0.75</v>
      </c>
    </row>
    <row r="206" spans="1:25" hidden="1" x14ac:dyDescent="0.3">
      <c r="A206">
        <v>434</v>
      </c>
      <c r="B206" t="s">
        <v>799</v>
      </c>
      <c r="C206" t="s">
        <v>26</v>
      </c>
      <c r="D206" t="s">
        <v>93</v>
      </c>
      <c r="E206" t="s">
        <v>40</v>
      </c>
      <c r="F206" t="s">
        <v>49</v>
      </c>
      <c r="G206" t="s">
        <v>41</v>
      </c>
      <c r="H206" t="s">
        <v>153</v>
      </c>
      <c r="I206">
        <v>200</v>
      </c>
      <c r="J206" t="s">
        <v>800</v>
      </c>
      <c r="K206" t="s">
        <v>155</v>
      </c>
      <c r="L206" t="s">
        <v>176</v>
      </c>
      <c r="M206" t="s">
        <v>177</v>
      </c>
      <c r="N206" s="3" t="s">
        <v>59</v>
      </c>
      <c r="O206" s="3" t="s">
        <v>59</v>
      </c>
      <c r="P206" s="3" t="s">
        <v>59</v>
      </c>
      <c r="Q206" s="3" t="s">
        <v>59</v>
      </c>
      <c r="R206" s="3" t="s">
        <v>59</v>
      </c>
      <c r="S206" s="3" t="s">
        <v>59</v>
      </c>
      <c r="T206" s="3" t="s">
        <v>59</v>
      </c>
      <c r="U206" s="3" t="s">
        <v>59</v>
      </c>
      <c r="V206" s="3" t="s">
        <v>59</v>
      </c>
      <c r="W206" s="3" t="s">
        <v>59</v>
      </c>
      <c r="X206" s="3" t="s">
        <v>59</v>
      </c>
      <c r="Y206" s="3" t="s">
        <v>59</v>
      </c>
    </row>
    <row r="207" spans="1:25" hidden="1" x14ac:dyDescent="0.3">
      <c r="A207">
        <v>434</v>
      </c>
      <c r="B207" t="s">
        <v>799</v>
      </c>
      <c r="C207" t="s">
        <v>26</v>
      </c>
      <c r="D207" t="s">
        <v>93</v>
      </c>
      <c r="E207" t="s">
        <v>40</v>
      </c>
      <c r="F207" t="s">
        <v>49</v>
      </c>
      <c r="G207" t="s">
        <v>41</v>
      </c>
      <c r="H207" t="s">
        <v>153</v>
      </c>
      <c r="I207">
        <v>200</v>
      </c>
      <c r="J207" t="s">
        <v>800</v>
      </c>
      <c r="K207" t="s">
        <v>155</v>
      </c>
      <c r="L207" t="s">
        <v>178</v>
      </c>
      <c r="M207" t="s">
        <v>179</v>
      </c>
      <c r="N207" s="3">
        <v>10.4</v>
      </c>
      <c r="O207" s="3">
        <v>17.3</v>
      </c>
      <c r="P207" s="3">
        <v>449.7</v>
      </c>
      <c r="Q207" s="3">
        <v>23.4</v>
      </c>
      <c r="R207" s="3">
        <v>19</v>
      </c>
      <c r="S207" s="3">
        <v>0</v>
      </c>
      <c r="T207" s="3">
        <v>0</v>
      </c>
      <c r="U207" s="3">
        <v>1.6</v>
      </c>
      <c r="V207" s="3">
        <v>6.4</v>
      </c>
      <c r="W207" s="3">
        <v>1.4</v>
      </c>
      <c r="X207" s="3">
        <v>11.8</v>
      </c>
      <c r="Y207" s="3">
        <v>0</v>
      </c>
    </row>
    <row r="208" spans="1:25" hidden="1" x14ac:dyDescent="0.3">
      <c r="A208">
        <v>434</v>
      </c>
      <c r="B208" t="s">
        <v>799</v>
      </c>
      <c r="C208" t="s">
        <v>26</v>
      </c>
      <c r="D208" t="s">
        <v>93</v>
      </c>
      <c r="E208" t="s">
        <v>40</v>
      </c>
      <c r="F208" t="s">
        <v>49</v>
      </c>
      <c r="G208" t="s">
        <v>41</v>
      </c>
      <c r="H208" t="s">
        <v>153</v>
      </c>
      <c r="I208">
        <v>200</v>
      </c>
      <c r="J208" t="s">
        <v>800</v>
      </c>
      <c r="K208" t="s">
        <v>155</v>
      </c>
      <c r="L208" t="s">
        <v>180</v>
      </c>
      <c r="M208" t="s">
        <v>181</v>
      </c>
      <c r="N208" s="3">
        <v>0.1</v>
      </c>
      <c r="O208" s="3">
        <v>0.2</v>
      </c>
      <c r="P208" s="3">
        <v>0.1</v>
      </c>
      <c r="Q208" s="3">
        <v>0.1</v>
      </c>
      <c r="R208" s="3">
        <v>0.5</v>
      </c>
      <c r="S208" s="3">
        <v>0</v>
      </c>
      <c r="T208" s="3">
        <v>0</v>
      </c>
      <c r="U208" s="3">
        <v>0.1</v>
      </c>
      <c r="V208" s="3">
        <v>0.2</v>
      </c>
      <c r="W208" s="3">
        <v>0</v>
      </c>
      <c r="X208" s="3">
        <v>0</v>
      </c>
      <c r="Y208" s="3">
        <v>0</v>
      </c>
    </row>
    <row r="209" spans="1:25" hidden="1" x14ac:dyDescent="0.3">
      <c r="A209">
        <v>434</v>
      </c>
      <c r="B209" t="s">
        <v>799</v>
      </c>
      <c r="C209" t="s">
        <v>26</v>
      </c>
      <c r="D209" t="s">
        <v>93</v>
      </c>
      <c r="E209" t="s">
        <v>40</v>
      </c>
      <c r="F209" t="s">
        <v>49</v>
      </c>
      <c r="G209" t="s">
        <v>41</v>
      </c>
      <c r="H209" t="s">
        <v>153</v>
      </c>
      <c r="I209">
        <v>200</v>
      </c>
      <c r="J209" t="s">
        <v>800</v>
      </c>
      <c r="K209" t="s">
        <v>155</v>
      </c>
      <c r="L209" t="s">
        <v>182</v>
      </c>
      <c r="M209" t="s">
        <v>183</v>
      </c>
      <c r="N209" s="3" t="s">
        <v>59</v>
      </c>
      <c r="O209" s="3" t="s">
        <v>59</v>
      </c>
      <c r="P209" s="3" t="s">
        <v>59</v>
      </c>
      <c r="Q209" s="3" t="s">
        <v>59</v>
      </c>
      <c r="R209" s="3" t="s">
        <v>59</v>
      </c>
      <c r="S209" s="3" t="s">
        <v>59</v>
      </c>
      <c r="T209" s="3" t="s">
        <v>59</v>
      </c>
      <c r="U209" s="3" t="s">
        <v>59</v>
      </c>
      <c r="V209" s="3" t="s">
        <v>59</v>
      </c>
      <c r="W209" s="3" t="s">
        <v>59</v>
      </c>
      <c r="X209" s="3" t="s">
        <v>59</v>
      </c>
      <c r="Y209" s="3" t="s">
        <v>59</v>
      </c>
    </row>
    <row r="210" spans="1:25" hidden="1" x14ac:dyDescent="0.3">
      <c r="A210" s="1">
        <v>436</v>
      </c>
      <c r="B210" s="1" t="s">
        <v>803</v>
      </c>
      <c r="C210" s="1" t="s">
        <v>26</v>
      </c>
      <c r="D210" s="1" t="s">
        <v>96</v>
      </c>
      <c r="E210" s="1" t="s">
        <v>28</v>
      </c>
      <c r="F210" s="1" t="s">
        <v>49</v>
      </c>
      <c r="G210" s="1" t="s">
        <v>41</v>
      </c>
      <c r="H210" s="1" t="s">
        <v>153</v>
      </c>
      <c r="I210" s="1">
        <v>14</v>
      </c>
      <c r="J210" s="1" t="s">
        <v>804</v>
      </c>
      <c r="K210" s="1" t="s">
        <v>155</v>
      </c>
      <c r="L210" s="1" t="s">
        <v>34</v>
      </c>
      <c r="M210" s="1" t="s">
        <v>34</v>
      </c>
      <c r="N210" s="5">
        <v>11.77</v>
      </c>
      <c r="O210" s="5">
        <v>8.1199999999999992</v>
      </c>
      <c r="P210" s="6">
        <v>15.49</v>
      </c>
      <c r="Q210" s="5">
        <v>7.08</v>
      </c>
      <c r="R210" s="6">
        <v>14.17</v>
      </c>
      <c r="S210" s="4">
        <v>13.41</v>
      </c>
      <c r="T210" s="5">
        <v>11.93</v>
      </c>
      <c r="U210" s="5">
        <v>10.17</v>
      </c>
      <c r="V210" s="5">
        <v>6.4</v>
      </c>
      <c r="W210" s="5">
        <v>10.6</v>
      </c>
      <c r="X210" s="5">
        <v>3.34</v>
      </c>
      <c r="Y210" s="5">
        <v>9.1999999999999993</v>
      </c>
    </row>
    <row r="211" spans="1:25" hidden="1" x14ac:dyDescent="0.3">
      <c r="A211">
        <v>436</v>
      </c>
      <c r="B211" t="s">
        <v>803</v>
      </c>
      <c r="C211" t="s">
        <v>26</v>
      </c>
      <c r="D211" t="s">
        <v>96</v>
      </c>
      <c r="E211" t="s">
        <v>28</v>
      </c>
      <c r="F211" t="s">
        <v>49</v>
      </c>
      <c r="G211" t="s">
        <v>41</v>
      </c>
      <c r="H211" t="s">
        <v>153</v>
      </c>
      <c r="I211">
        <v>14</v>
      </c>
      <c r="J211" t="s">
        <v>804</v>
      </c>
      <c r="K211" t="s">
        <v>155</v>
      </c>
      <c r="L211" t="s">
        <v>805</v>
      </c>
      <c r="M211" t="s">
        <v>806</v>
      </c>
      <c r="N211" s="3">
        <v>5.17</v>
      </c>
      <c r="O211" s="3">
        <v>4</v>
      </c>
      <c r="P211" s="3">
        <v>4.74</v>
      </c>
      <c r="Q211" s="3">
        <v>3.53</v>
      </c>
      <c r="R211" s="3">
        <v>5.95</v>
      </c>
      <c r="S211" s="3">
        <v>4.59</v>
      </c>
      <c r="T211" s="3">
        <v>5.05</v>
      </c>
      <c r="U211" s="3">
        <v>4.6900000000000004</v>
      </c>
      <c r="V211" s="3">
        <v>3.72</v>
      </c>
      <c r="W211" s="3">
        <v>6.67</v>
      </c>
      <c r="X211" s="3">
        <v>1.93</v>
      </c>
      <c r="Y211" s="3">
        <v>6.1</v>
      </c>
    </row>
    <row r="212" spans="1:25" hidden="1" x14ac:dyDescent="0.3">
      <c r="A212">
        <v>436</v>
      </c>
      <c r="B212" t="s">
        <v>803</v>
      </c>
      <c r="C212" t="s">
        <v>26</v>
      </c>
      <c r="D212" t="s">
        <v>96</v>
      </c>
      <c r="E212" t="s">
        <v>28</v>
      </c>
      <c r="F212" t="s">
        <v>49</v>
      </c>
      <c r="G212" t="s">
        <v>41</v>
      </c>
      <c r="H212" t="s">
        <v>153</v>
      </c>
      <c r="I212">
        <v>14</v>
      </c>
      <c r="J212" t="s">
        <v>804</v>
      </c>
      <c r="K212" t="s">
        <v>155</v>
      </c>
      <c r="L212" t="s">
        <v>807</v>
      </c>
      <c r="M212" t="s">
        <v>808</v>
      </c>
      <c r="N212" s="3">
        <v>6.6</v>
      </c>
      <c r="O212" s="3">
        <v>4.12</v>
      </c>
      <c r="P212" s="3">
        <v>10.75</v>
      </c>
      <c r="Q212" s="3">
        <v>3.55</v>
      </c>
      <c r="R212" s="3">
        <v>8.2200000000000006</v>
      </c>
      <c r="S212" s="3">
        <v>8.82</v>
      </c>
      <c r="T212" s="3">
        <v>6.88</v>
      </c>
      <c r="U212" s="3">
        <v>5.48</v>
      </c>
      <c r="V212" s="3">
        <v>2.68</v>
      </c>
      <c r="W212" s="3">
        <v>3.93</v>
      </c>
      <c r="X212" s="3">
        <v>1.41</v>
      </c>
      <c r="Y212" s="3">
        <v>3.1</v>
      </c>
    </row>
    <row r="213" spans="1:25" hidden="1" x14ac:dyDescent="0.3">
      <c r="A213" s="1">
        <v>485</v>
      </c>
      <c r="B213" s="1" t="s">
        <v>922</v>
      </c>
      <c r="C213" s="1" t="s">
        <v>26</v>
      </c>
      <c r="D213" s="1" t="s">
        <v>96</v>
      </c>
      <c r="E213" s="1" t="s">
        <v>28</v>
      </c>
      <c r="F213" s="1" t="s">
        <v>49</v>
      </c>
      <c r="G213" s="1" t="s">
        <v>30</v>
      </c>
      <c r="H213" s="1" t="s">
        <v>153</v>
      </c>
      <c r="I213" s="1"/>
      <c r="J213" s="1" t="s">
        <v>923</v>
      </c>
      <c r="K213" s="1" t="s">
        <v>155</v>
      </c>
      <c r="L213" s="1" t="s">
        <v>34</v>
      </c>
      <c r="M213" s="1" t="s">
        <v>34</v>
      </c>
      <c r="N213" s="3" t="s">
        <v>59</v>
      </c>
      <c r="O213" s="5">
        <v>85.71</v>
      </c>
      <c r="P213" s="5">
        <v>100</v>
      </c>
      <c r="Q213" s="6">
        <v>62.5</v>
      </c>
      <c r="R213" s="3"/>
      <c r="S213" s="6">
        <v>66.67</v>
      </c>
      <c r="T213" s="6">
        <v>66.67</v>
      </c>
      <c r="U213" s="5">
        <v>100</v>
      </c>
      <c r="V213" s="5">
        <v>100</v>
      </c>
      <c r="W213" s="5">
        <v>100</v>
      </c>
      <c r="X213" s="7">
        <v>50</v>
      </c>
      <c r="Y213" s="5">
        <v>100</v>
      </c>
    </row>
    <row r="214" spans="1:25" hidden="1" x14ac:dyDescent="0.3">
      <c r="A214">
        <v>485</v>
      </c>
      <c r="B214" t="s">
        <v>922</v>
      </c>
      <c r="C214" t="s">
        <v>26</v>
      </c>
      <c r="D214" t="s">
        <v>96</v>
      </c>
      <c r="E214" t="s">
        <v>28</v>
      </c>
      <c r="F214" t="s">
        <v>49</v>
      </c>
      <c r="G214" t="s">
        <v>30</v>
      </c>
      <c r="H214" t="s">
        <v>153</v>
      </c>
      <c r="J214" t="s">
        <v>923</v>
      </c>
      <c r="K214" t="s">
        <v>155</v>
      </c>
      <c r="L214" t="s">
        <v>405</v>
      </c>
      <c r="M214" t="s">
        <v>406</v>
      </c>
      <c r="N214" s="3" t="s">
        <v>59</v>
      </c>
      <c r="O214" s="3" t="s">
        <v>59</v>
      </c>
      <c r="P214" s="3" t="s">
        <v>59</v>
      </c>
      <c r="Q214" s="3"/>
      <c r="R214" s="3">
        <v>100</v>
      </c>
      <c r="S214" s="3" t="s">
        <v>59</v>
      </c>
      <c r="T214" s="3" t="s">
        <v>59</v>
      </c>
      <c r="U214" s="3">
        <v>100</v>
      </c>
      <c r="V214" s="3">
        <v>100</v>
      </c>
      <c r="W214" s="3">
        <v>100</v>
      </c>
      <c r="X214" s="3">
        <v>33.33</v>
      </c>
      <c r="Y214" s="3">
        <v>100</v>
      </c>
    </row>
    <row r="215" spans="1:25" hidden="1" x14ac:dyDescent="0.3">
      <c r="A215">
        <v>485</v>
      </c>
      <c r="B215" t="s">
        <v>922</v>
      </c>
      <c r="C215" t="s">
        <v>26</v>
      </c>
      <c r="D215" t="s">
        <v>96</v>
      </c>
      <c r="E215" t="s">
        <v>28</v>
      </c>
      <c r="F215" t="s">
        <v>49</v>
      </c>
      <c r="G215" t="s">
        <v>30</v>
      </c>
      <c r="H215" t="s">
        <v>153</v>
      </c>
      <c r="J215" t="s">
        <v>923</v>
      </c>
      <c r="K215" t="s">
        <v>155</v>
      </c>
      <c r="L215" t="s">
        <v>407</v>
      </c>
      <c r="M215" t="s">
        <v>408</v>
      </c>
      <c r="N215" s="3" t="s">
        <v>59</v>
      </c>
      <c r="O215" s="3" t="s">
        <v>59</v>
      </c>
      <c r="P215" s="3">
        <v>100</v>
      </c>
      <c r="Q215" s="3">
        <v>100</v>
      </c>
      <c r="R215" s="3">
        <v>0</v>
      </c>
      <c r="S215" s="3" t="s">
        <v>59</v>
      </c>
      <c r="T215" s="3" t="s">
        <v>59</v>
      </c>
      <c r="U215" s="3" t="s">
        <v>59</v>
      </c>
      <c r="V215" s="3" t="s">
        <v>59</v>
      </c>
      <c r="W215" s="3" t="s">
        <v>59</v>
      </c>
      <c r="X215" s="3" t="s">
        <v>59</v>
      </c>
      <c r="Y215" s="3" t="s">
        <v>59</v>
      </c>
    </row>
    <row r="216" spans="1:25" hidden="1" x14ac:dyDescent="0.3">
      <c r="A216">
        <v>485</v>
      </c>
      <c r="B216" t="s">
        <v>922</v>
      </c>
      <c r="C216" t="s">
        <v>26</v>
      </c>
      <c r="D216" t="s">
        <v>96</v>
      </c>
      <c r="E216" t="s">
        <v>28</v>
      </c>
      <c r="F216" t="s">
        <v>49</v>
      </c>
      <c r="G216" t="s">
        <v>30</v>
      </c>
      <c r="H216" t="s">
        <v>153</v>
      </c>
      <c r="J216" t="s">
        <v>923</v>
      </c>
      <c r="K216" t="s">
        <v>155</v>
      </c>
      <c r="L216" t="s">
        <v>409</v>
      </c>
      <c r="M216" t="s">
        <v>410</v>
      </c>
      <c r="N216" s="3" t="s">
        <v>59</v>
      </c>
      <c r="O216" s="3" t="s">
        <v>59</v>
      </c>
      <c r="P216" s="3">
        <v>100</v>
      </c>
      <c r="Q216" s="3" t="s">
        <v>59</v>
      </c>
      <c r="R216" s="3" t="s">
        <v>59</v>
      </c>
      <c r="S216" s="3">
        <v>100</v>
      </c>
      <c r="T216" s="3">
        <v>50</v>
      </c>
      <c r="U216" s="3" t="s">
        <v>59</v>
      </c>
      <c r="V216" s="3" t="s">
        <v>59</v>
      </c>
      <c r="W216" s="3" t="s">
        <v>59</v>
      </c>
      <c r="X216" s="3" t="s">
        <v>59</v>
      </c>
      <c r="Y216" s="3">
        <v>100</v>
      </c>
    </row>
    <row r="217" spans="1:25" hidden="1" x14ac:dyDescent="0.3">
      <c r="A217">
        <v>485</v>
      </c>
      <c r="B217" t="s">
        <v>922</v>
      </c>
      <c r="C217" t="s">
        <v>26</v>
      </c>
      <c r="D217" t="s">
        <v>96</v>
      </c>
      <c r="E217" t="s">
        <v>28</v>
      </c>
      <c r="F217" t="s">
        <v>49</v>
      </c>
      <c r="G217" t="s">
        <v>30</v>
      </c>
      <c r="H217" t="s">
        <v>153</v>
      </c>
      <c r="J217" t="s">
        <v>923</v>
      </c>
      <c r="K217" t="s">
        <v>155</v>
      </c>
      <c r="L217" t="s">
        <v>403</v>
      </c>
      <c r="M217" t="s">
        <v>404</v>
      </c>
      <c r="N217" s="3" t="s">
        <v>59</v>
      </c>
      <c r="O217" s="3">
        <v>100</v>
      </c>
      <c r="P217" s="3" t="s">
        <v>59</v>
      </c>
      <c r="Q217" s="3">
        <v>0</v>
      </c>
      <c r="R217" s="3" t="s">
        <v>59</v>
      </c>
      <c r="S217" s="3">
        <v>100</v>
      </c>
      <c r="T217" s="3" t="s">
        <v>59</v>
      </c>
      <c r="U217" s="3" t="s">
        <v>59</v>
      </c>
      <c r="V217" s="3" t="s">
        <v>59</v>
      </c>
      <c r="W217" s="3" t="s">
        <v>59</v>
      </c>
      <c r="X217" s="3" t="s">
        <v>59</v>
      </c>
      <c r="Y217" s="3" t="s">
        <v>59</v>
      </c>
    </row>
    <row r="218" spans="1:25" hidden="1" x14ac:dyDescent="0.3">
      <c r="A218">
        <v>485</v>
      </c>
      <c r="B218" t="s">
        <v>922</v>
      </c>
      <c r="C218" t="s">
        <v>26</v>
      </c>
      <c r="D218" t="s">
        <v>96</v>
      </c>
      <c r="E218" t="s">
        <v>28</v>
      </c>
      <c r="F218" t="s">
        <v>49</v>
      </c>
      <c r="G218" t="s">
        <v>30</v>
      </c>
      <c r="H218" t="s">
        <v>153</v>
      </c>
      <c r="J218" t="s">
        <v>923</v>
      </c>
      <c r="K218" t="s">
        <v>155</v>
      </c>
      <c r="L218" t="s">
        <v>60</v>
      </c>
      <c r="M218" t="s">
        <v>924</v>
      </c>
      <c r="N218" s="3" t="s">
        <v>59</v>
      </c>
      <c r="O218" s="3" t="s">
        <v>59</v>
      </c>
      <c r="P218" s="3" t="s">
        <v>59</v>
      </c>
      <c r="Q218" s="3" t="s">
        <v>59</v>
      </c>
      <c r="R218" s="3" t="s">
        <v>59</v>
      </c>
      <c r="S218" s="3" t="s">
        <v>59</v>
      </c>
      <c r="T218" s="3" t="s">
        <v>59</v>
      </c>
      <c r="U218" s="3" t="s">
        <v>59</v>
      </c>
      <c r="V218" s="3" t="s">
        <v>59</v>
      </c>
      <c r="W218" s="3" t="s">
        <v>59</v>
      </c>
      <c r="X218" s="3" t="s">
        <v>59</v>
      </c>
      <c r="Y218" s="3" t="s">
        <v>59</v>
      </c>
    </row>
    <row r="219" spans="1:25" hidden="1" x14ac:dyDescent="0.3">
      <c r="A219">
        <v>485</v>
      </c>
      <c r="B219" t="s">
        <v>922</v>
      </c>
      <c r="C219" t="s">
        <v>26</v>
      </c>
      <c r="D219" t="s">
        <v>96</v>
      </c>
      <c r="E219" t="s">
        <v>28</v>
      </c>
      <c r="F219" t="s">
        <v>49</v>
      </c>
      <c r="G219" t="s">
        <v>30</v>
      </c>
      <c r="H219" t="s">
        <v>153</v>
      </c>
      <c r="J219" t="s">
        <v>923</v>
      </c>
      <c r="K219" t="s">
        <v>155</v>
      </c>
      <c r="L219" t="s">
        <v>925</v>
      </c>
      <c r="M219" t="s">
        <v>926</v>
      </c>
      <c r="N219" s="3" t="s">
        <v>59</v>
      </c>
      <c r="O219" s="3" t="s">
        <v>59</v>
      </c>
      <c r="P219" s="3" t="s">
        <v>59</v>
      </c>
      <c r="Q219" s="3" t="s">
        <v>59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</row>
    <row r="220" spans="1:25" hidden="1" x14ac:dyDescent="0.3">
      <c r="A220">
        <v>485</v>
      </c>
      <c r="B220" t="s">
        <v>922</v>
      </c>
      <c r="C220" t="s">
        <v>26</v>
      </c>
      <c r="D220" t="s">
        <v>96</v>
      </c>
      <c r="E220" t="s">
        <v>28</v>
      </c>
      <c r="F220" t="s">
        <v>49</v>
      </c>
      <c r="G220" t="s">
        <v>30</v>
      </c>
      <c r="H220" t="s">
        <v>153</v>
      </c>
      <c r="J220" t="s">
        <v>923</v>
      </c>
      <c r="K220" t="s">
        <v>155</v>
      </c>
      <c r="L220" t="s">
        <v>927</v>
      </c>
      <c r="M220" t="s">
        <v>928</v>
      </c>
      <c r="N220" s="3" t="s">
        <v>59</v>
      </c>
      <c r="O220" s="3">
        <v>50</v>
      </c>
      <c r="P220" s="3" t="s">
        <v>59</v>
      </c>
      <c r="Q220" s="3">
        <v>100</v>
      </c>
      <c r="R220" s="3">
        <v>100</v>
      </c>
      <c r="S220" s="3">
        <v>0</v>
      </c>
      <c r="T220" s="3">
        <v>100</v>
      </c>
      <c r="U220" s="3" t="s">
        <v>59</v>
      </c>
      <c r="V220" s="3" t="s">
        <v>59</v>
      </c>
      <c r="W220" s="3" t="s">
        <v>59</v>
      </c>
      <c r="X220" s="3">
        <v>66.67</v>
      </c>
      <c r="Y220" s="3">
        <v>100</v>
      </c>
    </row>
    <row r="221" spans="1:25" hidden="1" x14ac:dyDescent="0.3">
      <c r="A221">
        <v>485</v>
      </c>
      <c r="B221" t="s">
        <v>922</v>
      </c>
      <c r="C221" t="s">
        <v>26</v>
      </c>
      <c r="D221" t="s">
        <v>96</v>
      </c>
      <c r="E221" t="s">
        <v>28</v>
      </c>
      <c r="F221" t="s">
        <v>49</v>
      </c>
      <c r="G221" t="s">
        <v>30</v>
      </c>
      <c r="H221" t="s">
        <v>153</v>
      </c>
      <c r="J221" t="s">
        <v>923</v>
      </c>
      <c r="K221" t="s">
        <v>155</v>
      </c>
      <c r="L221" t="s">
        <v>458</v>
      </c>
      <c r="M221" t="s">
        <v>459</v>
      </c>
      <c r="N221" s="3" t="s">
        <v>59</v>
      </c>
      <c r="O221" s="3" t="s">
        <v>59</v>
      </c>
      <c r="P221" s="3" t="s">
        <v>59</v>
      </c>
      <c r="Q221" s="3" t="s">
        <v>59</v>
      </c>
      <c r="R221" s="3" t="s">
        <v>59</v>
      </c>
      <c r="S221" s="3" t="s">
        <v>59</v>
      </c>
      <c r="T221" s="3" t="s">
        <v>59</v>
      </c>
      <c r="U221" s="3" t="s">
        <v>59</v>
      </c>
      <c r="V221" s="3" t="s">
        <v>59</v>
      </c>
      <c r="W221" s="3" t="s">
        <v>59</v>
      </c>
      <c r="X221" s="3" t="s">
        <v>59</v>
      </c>
      <c r="Y221" s="3" t="s">
        <v>59</v>
      </c>
    </row>
    <row r="222" spans="1:25" hidden="1" x14ac:dyDescent="0.3">
      <c r="A222">
        <v>485</v>
      </c>
      <c r="B222" t="s">
        <v>922</v>
      </c>
      <c r="C222" t="s">
        <v>26</v>
      </c>
      <c r="D222" t="s">
        <v>96</v>
      </c>
      <c r="E222" t="s">
        <v>28</v>
      </c>
      <c r="F222" t="s">
        <v>49</v>
      </c>
      <c r="G222" t="s">
        <v>30</v>
      </c>
      <c r="H222" t="s">
        <v>153</v>
      </c>
      <c r="J222" t="s">
        <v>923</v>
      </c>
      <c r="K222" t="s">
        <v>155</v>
      </c>
      <c r="L222" t="s">
        <v>929</v>
      </c>
      <c r="M222" t="s">
        <v>930</v>
      </c>
      <c r="N222" s="3" t="s">
        <v>59</v>
      </c>
      <c r="O222" s="3" t="s">
        <v>59</v>
      </c>
      <c r="P222" s="3" t="s">
        <v>59</v>
      </c>
      <c r="Q222" s="3" t="s">
        <v>59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</row>
    <row r="223" spans="1:25" hidden="1" x14ac:dyDescent="0.3">
      <c r="A223" s="1">
        <v>488</v>
      </c>
      <c r="B223" s="1" t="s">
        <v>935</v>
      </c>
      <c r="C223" s="1" t="s">
        <v>26</v>
      </c>
      <c r="D223" s="1" t="s">
        <v>96</v>
      </c>
      <c r="E223" s="1" t="s">
        <v>28</v>
      </c>
      <c r="F223" s="1" t="s">
        <v>49</v>
      </c>
      <c r="G223" s="1" t="s">
        <v>30</v>
      </c>
      <c r="H223" s="1" t="s">
        <v>153</v>
      </c>
      <c r="I223" s="1"/>
      <c r="J223" s="1" t="s">
        <v>936</v>
      </c>
      <c r="K223" s="1" t="s">
        <v>155</v>
      </c>
      <c r="L223" s="1" t="s">
        <v>34</v>
      </c>
      <c r="M223" s="1" t="s">
        <v>34</v>
      </c>
      <c r="N223" s="6">
        <v>76.739999999999995</v>
      </c>
      <c r="O223" s="6">
        <v>75</v>
      </c>
      <c r="P223" s="4">
        <v>85.59</v>
      </c>
      <c r="Q223" s="4">
        <v>86.89</v>
      </c>
      <c r="R223" s="6">
        <v>81.010000000000005</v>
      </c>
      <c r="S223" s="6">
        <v>83.54</v>
      </c>
      <c r="T223" s="7">
        <v>72.41</v>
      </c>
      <c r="U223" s="7">
        <v>67.86</v>
      </c>
      <c r="V223" s="7">
        <v>64.91</v>
      </c>
      <c r="W223" s="3" t="s">
        <v>59</v>
      </c>
      <c r="X223" s="6">
        <v>77.205882352941174</v>
      </c>
      <c r="Y223" s="6">
        <v>78.048780487804876</v>
      </c>
    </row>
    <row r="224" spans="1:25" hidden="1" x14ac:dyDescent="0.3">
      <c r="A224">
        <v>488</v>
      </c>
      <c r="B224" t="s">
        <v>935</v>
      </c>
      <c r="C224" t="s">
        <v>26</v>
      </c>
      <c r="D224" t="s">
        <v>96</v>
      </c>
      <c r="E224" t="s">
        <v>28</v>
      </c>
      <c r="F224" t="s">
        <v>49</v>
      </c>
      <c r="G224" t="s">
        <v>30</v>
      </c>
      <c r="H224" t="s">
        <v>153</v>
      </c>
      <c r="J224" t="s">
        <v>936</v>
      </c>
      <c r="K224" t="s">
        <v>155</v>
      </c>
      <c r="L224" t="s">
        <v>405</v>
      </c>
      <c r="M224" t="s">
        <v>406</v>
      </c>
      <c r="N224" s="3">
        <v>20</v>
      </c>
      <c r="O224" s="3">
        <v>70.59</v>
      </c>
      <c r="P224" s="3">
        <v>82.35</v>
      </c>
      <c r="Q224" s="3">
        <v>87.5</v>
      </c>
      <c r="R224" s="3">
        <v>92.86</v>
      </c>
      <c r="S224" s="3">
        <v>33.33</v>
      </c>
      <c r="T224" s="3">
        <v>66.67</v>
      </c>
      <c r="U224" s="3">
        <v>60</v>
      </c>
      <c r="V224" s="3">
        <v>60</v>
      </c>
      <c r="W224" s="3" t="s">
        <v>59</v>
      </c>
      <c r="X224" s="3">
        <v>73.33</v>
      </c>
      <c r="Y224" s="3">
        <v>78.790000000000006</v>
      </c>
    </row>
    <row r="225" spans="1:25" hidden="1" x14ac:dyDescent="0.3">
      <c r="A225">
        <v>488</v>
      </c>
      <c r="B225" t="s">
        <v>935</v>
      </c>
      <c r="C225" t="s">
        <v>26</v>
      </c>
      <c r="D225" t="s">
        <v>96</v>
      </c>
      <c r="E225" t="s">
        <v>28</v>
      </c>
      <c r="F225" t="s">
        <v>49</v>
      </c>
      <c r="G225" t="s">
        <v>30</v>
      </c>
      <c r="H225" t="s">
        <v>153</v>
      </c>
      <c r="J225" t="s">
        <v>936</v>
      </c>
      <c r="K225" t="s">
        <v>155</v>
      </c>
      <c r="L225" t="s">
        <v>407</v>
      </c>
      <c r="M225" t="s">
        <v>408</v>
      </c>
      <c r="N225" s="3">
        <v>82.76</v>
      </c>
      <c r="O225" s="3" t="s">
        <v>59</v>
      </c>
      <c r="P225" s="3" t="s">
        <v>59</v>
      </c>
      <c r="Q225" s="3" t="s">
        <v>59</v>
      </c>
      <c r="R225" s="3">
        <v>100</v>
      </c>
      <c r="S225" s="3">
        <v>60</v>
      </c>
      <c r="T225" s="3">
        <v>53.33</v>
      </c>
      <c r="U225" s="3">
        <v>25</v>
      </c>
      <c r="V225" s="3">
        <v>47.37</v>
      </c>
      <c r="W225" s="3" t="s">
        <v>59</v>
      </c>
      <c r="X225" s="3">
        <v>40</v>
      </c>
      <c r="Y225" s="3">
        <v>40</v>
      </c>
    </row>
    <row r="226" spans="1:25" hidden="1" x14ac:dyDescent="0.3">
      <c r="A226">
        <v>488</v>
      </c>
      <c r="B226" t="s">
        <v>935</v>
      </c>
      <c r="C226" t="s">
        <v>26</v>
      </c>
      <c r="D226" t="s">
        <v>96</v>
      </c>
      <c r="E226" t="s">
        <v>28</v>
      </c>
      <c r="F226" t="s">
        <v>49</v>
      </c>
      <c r="G226" t="s">
        <v>30</v>
      </c>
      <c r="H226" t="s">
        <v>153</v>
      </c>
      <c r="J226" t="s">
        <v>936</v>
      </c>
      <c r="K226" t="s">
        <v>155</v>
      </c>
      <c r="L226" t="s">
        <v>409</v>
      </c>
      <c r="M226" t="s">
        <v>410</v>
      </c>
      <c r="N226" s="3">
        <v>40</v>
      </c>
      <c r="O226" s="3">
        <v>100</v>
      </c>
      <c r="P226" s="3">
        <v>83.33</v>
      </c>
      <c r="Q226" s="3">
        <v>0</v>
      </c>
      <c r="R226" s="3">
        <v>100</v>
      </c>
      <c r="S226" s="3">
        <v>100</v>
      </c>
      <c r="T226" s="3">
        <v>0</v>
      </c>
      <c r="U226" s="3">
        <v>66.67</v>
      </c>
      <c r="V226" s="3">
        <v>60</v>
      </c>
      <c r="W226" s="3" t="s">
        <v>59</v>
      </c>
      <c r="X226" s="3">
        <v>76.92</v>
      </c>
      <c r="Y226" s="3">
        <v>82.61</v>
      </c>
    </row>
    <row r="227" spans="1:25" hidden="1" x14ac:dyDescent="0.3">
      <c r="A227">
        <v>488</v>
      </c>
      <c r="B227" t="s">
        <v>935</v>
      </c>
      <c r="C227" t="s">
        <v>26</v>
      </c>
      <c r="D227" t="s">
        <v>96</v>
      </c>
      <c r="E227" t="s">
        <v>28</v>
      </c>
      <c r="F227" t="s">
        <v>49</v>
      </c>
      <c r="G227" t="s">
        <v>30</v>
      </c>
      <c r="H227" t="s">
        <v>153</v>
      </c>
      <c r="J227" t="s">
        <v>936</v>
      </c>
      <c r="K227" t="s">
        <v>155</v>
      </c>
      <c r="L227" t="s">
        <v>403</v>
      </c>
      <c r="M227" t="s">
        <v>404</v>
      </c>
      <c r="N227" s="3">
        <v>93.33</v>
      </c>
      <c r="O227" s="3">
        <v>74.290000000000006</v>
      </c>
      <c r="P227" s="3">
        <v>97.83</v>
      </c>
      <c r="Q227" s="3">
        <v>96.43</v>
      </c>
      <c r="R227" s="3">
        <v>77.55</v>
      </c>
      <c r="S227" s="3">
        <v>89.47</v>
      </c>
      <c r="T227" s="3">
        <v>100</v>
      </c>
      <c r="U227" s="3">
        <v>89.36</v>
      </c>
      <c r="V227" s="3">
        <v>100</v>
      </c>
      <c r="W227" s="3" t="s">
        <v>59</v>
      </c>
      <c r="X227" s="3" t="s">
        <v>59</v>
      </c>
      <c r="Y227" s="3" t="s">
        <v>59</v>
      </c>
    </row>
    <row r="228" spans="1:25" hidden="1" x14ac:dyDescent="0.3">
      <c r="A228">
        <v>488</v>
      </c>
      <c r="B228" t="s">
        <v>935</v>
      </c>
      <c r="C228" t="s">
        <v>26</v>
      </c>
      <c r="D228" t="s">
        <v>96</v>
      </c>
      <c r="E228" t="s">
        <v>28</v>
      </c>
      <c r="F228" t="s">
        <v>49</v>
      </c>
      <c r="G228" t="s">
        <v>30</v>
      </c>
      <c r="H228" t="s">
        <v>153</v>
      </c>
      <c r="J228" t="s">
        <v>936</v>
      </c>
      <c r="K228" t="s">
        <v>155</v>
      </c>
      <c r="L228" t="s">
        <v>60</v>
      </c>
      <c r="M228" t="s">
        <v>924</v>
      </c>
      <c r="N228" s="3" t="s">
        <v>59</v>
      </c>
      <c r="O228" s="3" t="s">
        <v>59</v>
      </c>
      <c r="P228" s="3" t="s">
        <v>59</v>
      </c>
      <c r="Q228" s="3" t="s">
        <v>59</v>
      </c>
      <c r="R228" s="3" t="s">
        <v>59</v>
      </c>
      <c r="S228" s="3" t="s">
        <v>59</v>
      </c>
      <c r="T228" s="3" t="s">
        <v>59</v>
      </c>
      <c r="U228" s="3" t="s">
        <v>59</v>
      </c>
      <c r="V228" s="3" t="s">
        <v>59</v>
      </c>
      <c r="W228" s="3" t="s">
        <v>59</v>
      </c>
      <c r="X228" s="3" t="s">
        <v>59</v>
      </c>
      <c r="Y228" s="3" t="s">
        <v>59</v>
      </c>
    </row>
    <row r="229" spans="1:25" hidden="1" x14ac:dyDescent="0.3">
      <c r="A229">
        <v>488</v>
      </c>
      <c r="B229" t="s">
        <v>935</v>
      </c>
      <c r="C229" t="s">
        <v>26</v>
      </c>
      <c r="D229" t="s">
        <v>96</v>
      </c>
      <c r="E229" t="s">
        <v>28</v>
      </c>
      <c r="F229" t="s">
        <v>49</v>
      </c>
      <c r="G229" t="s">
        <v>30</v>
      </c>
      <c r="H229" t="s">
        <v>153</v>
      </c>
      <c r="J229" t="s">
        <v>936</v>
      </c>
      <c r="K229" t="s">
        <v>155</v>
      </c>
      <c r="L229" t="s">
        <v>925</v>
      </c>
      <c r="M229" t="s">
        <v>926</v>
      </c>
      <c r="N229" s="3" t="s">
        <v>59</v>
      </c>
      <c r="O229" s="3" t="s">
        <v>59</v>
      </c>
      <c r="P229" s="3" t="s">
        <v>59</v>
      </c>
      <c r="Q229" s="3" t="s">
        <v>59</v>
      </c>
      <c r="R229" s="3" t="s">
        <v>59</v>
      </c>
      <c r="S229" s="3" t="s">
        <v>59</v>
      </c>
      <c r="T229" s="3" t="s">
        <v>59</v>
      </c>
      <c r="U229" s="3" t="s">
        <v>59</v>
      </c>
      <c r="V229" s="3" t="s">
        <v>59</v>
      </c>
      <c r="W229" s="3" t="s">
        <v>59</v>
      </c>
      <c r="X229" s="3" t="s">
        <v>59</v>
      </c>
      <c r="Y229" s="3" t="s">
        <v>59</v>
      </c>
    </row>
    <row r="230" spans="1:25" hidden="1" x14ac:dyDescent="0.3">
      <c r="A230">
        <v>488</v>
      </c>
      <c r="B230" t="s">
        <v>935</v>
      </c>
      <c r="C230" t="s">
        <v>26</v>
      </c>
      <c r="D230" t="s">
        <v>96</v>
      </c>
      <c r="E230" t="s">
        <v>28</v>
      </c>
      <c r="F230" t="s">
        <v>49</v>
      </c>
      <c r="G230" t="s">
        <v>30</v>
      </c>
      <c r="H230" t="s">
        <v>153</v>
      </c>
      <c r="J230" t="s">
        <v>936</v>
      </c>
      <c r="K230" t="s">
        <v>155</v>
      </c>
      <c r="L230" t="s">
        <v>927</v>
      </c>
      <c r="M230" t="s">
        <v>928</v>
      </c>
      <c r="N230" s="3">
        <v>64.709999999999994</v>
      </c>
      <c r="O230" s="3">
        <v>72.5</v>
      </c>
      <c r="P230" s="3">
        <v>73.81</v>
      </c>
      <c r="Q230" s="3">
        <v>68</v>
      </c>
      <c r="R230" s="3">
        <v>66.67</v>
      </c>
      <c r="S230" s="3">
        <v>85.71</v>
      </c>
      <c r="T230" s="3">
        <v>44.44</v>
      </c>
      <c r="U230" s="3">
        <v>46.15</v>
      </c>
      <c r="V230" s="3">
        <v>70</v>
      </c>
      <c r="W230" s="3" t="s">
        <v>59</v>
      </c>
      <c r="X230" s="3">
        <v>81.36</v>
      </c>
      <c r="Y230" s="3">
        <v>79.03</v>
      </c>
    </row>
    <row r="231" spans="1:25" hidden="1" x14ac:dyDescent="0.3">
      <c r="A231">
        <v>488</v>
      </c>
      <c r="B231" t="s">
        <v>935</v>
      </c>
      <c r="C231" t="s">
        <v>26</v>
      </c>
      <c r="D231" t="s">
        <v>96</v>
      </c>
      <c r="E231" t="s">
        <v>28</v>
      </c>
      <c r="F231" t="s">
        <v>49</v>
      </c>
      <c r="G231" t="s">
        <v>30</v>
      </c>
      <c r="H231" t="s">
        <v>153</v>
      </c>
      <c r="J231" t="s">
        <v>936</v>
      </c>
      <c r="K231" t="s">
        <v>155</v>
      </c>
      <c r="L231" t="s">
        <v>458</v>
      </c>
      <c r="M231" t="s">
        <v>459</v>
      </c>
      <c r="N231" s="3" t="s">
        <v>59</v>
      </c>
      <c r="O231" s="3" t="s">
        <v>59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</row>
    <row r="232" spans="1:25" hidden="1" x14ac:dyDescent="0.3">
      <c r="A232">
        <v>488</v>
      </c>
      <c r="B232" t="s">
        <v>935</v>
      </c>
      <c r="C232" t="s">
        <v>26</v>
      </c>
      <c r="D232" t="s">
        <v>96</v>
      </c>
      <c r="E232" t="s">
        <v>28</v>
      </c>
      <c r="F232" t="s">
        <v>49</v>
      </c>
      <c r="G232" t="s">
        <v>30</v>
      </c>
      <c r="H232" t="s">
        <v>153</v>
      </c>
      <c r="J232" t="s">
        <v>936</v>
      </c>
      <c r="K232" t="s">
        <v>155</v>
      </c>
      <c r="L232" t="s">
        <v>929</v>
      </c>
      <c r="M232" t="s">
        <v>930</v>
      </c>
      <c r="N232" s="3" t="s">
        <v>59</v>
      </c>
      <c r="O232" s="3">
        <v>100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>
        <v>100</v>
      </c>
      <c r="Y232" s="3" t="s">
        <v>59</v>
      </c>
    </row>
    <row r="233" spans="1:25" hidden="1" x14ac:dyDescent="0.3">
      <c r="A233" s="1">
        <v>509</v>
      </c>
      <c r="B233" s="1" t="s">
        <v>974</v>
      </c>
      <c r="C233" s="1" t="s">
        <v>47</v>
      </c>
      <c r="D233" s="1" t="s">
        <v>273</v>
      </c>
      <c r="E233" s="1" t="s">
        <v>28</v>
      </c>
      <c r="F233" s="1" t="s">
        <v>49</v>
      </c>
      <c r="G233" s="1" t="s">
        <v>30</v>
      </c>
      <c r="H233" s="1" t="s">
        <v>153</v>
      </c>
      <c r="I233" s="1"/>
      <c r="J233" s="1" t="s">
        <v>975</v>
      </c>
      <c r="K233" s="1" t="s">
        <v>207</v>
      </c>
      <c r="L233" s="1" t="s">
        <v>34</v>
      </c>
      <c r="M233" s="1" t="s">
        <v>34</v>
      </c>
      <c r="N233" s="3"/>
      <c r="O233" s="3"/>
      <c r="P233" s="3"/>
      <c r="Q233" s="4">
        <v>96.67</v>
      </c>
      <c r="R233" s="4">
        <v>91.52</v>
      </c>
      <c r="S233" s="4">
        <v>96.04</v>
      </c>
      <c r="T233" s="5">
        <v>100.59</v>
      </c>
      <c r="U233" s="3"/>
      <c r="V233" s="3"/>
      <c r="W233" s="3"/>
      <c r="X233" s="3"/>
      <c r="Y233" s="4">
        <v>99.45</v>
      </c>
    </row>
    <row r="234" spans="1:25" hidden="1" x14ac:dyDescent="0.3">
      <c r="A234">
        <v>509</v>
      </c>
      <c r="B234" t="s">
        <v>974</v>
      </c>
      <c r="C234" t="s">
        <v>47</v>
      </c>
      <c r="D234" t="s">
        <v>273</v>
      </c>
      <c r="E234" t="s">
        <v>28</v>
      </c>
      <c r="F234" t="s">
        <v>49</v>
      </c>
      <c r="G234" t="s">
        <v>30</v>
      </c>
      <c r="H234" t="s">
        <v>153</v>
      </c>
      <c r="J234" t="s">
        <v>975</v>
      </c>
      <c r="K234" t="s">
        <v>207</v>
      </c>
      <c r="L234" t="s">
        <v>976</v>
      </c>
      <c r="M234" t="s">
        <v>977</v>
      </c>
      <c r="N234" s="3" t="s">
        <v>59</v>
      </c>
      <c r="O234" s="3" t="s">
        <v>59</v>
      </c>
      <c r="P234" s="3" t="s">
        <v>59</v>
      </c>
      <c r="Q234" s="3">
        <v>96.39</v>
      </c>
      <c r="R234" s="3">
        <v>98.51</v>
      </c>
      <c r="S234" s="3">
        <v>100</v>
      </c>
      <c r="T234" s="3">
        <v>100</v>
      </c>
      <c r="U234" s="3">
        <v>97.62</v>
      </c>
      <c r="V234" s="3">
        <v>100</v>
      </c>
      <c r="W234" s="3">
        <v>100</v>
      </c>
      <c r="X234" s="3">
        <v>100</v>
      </c>
      <c r="Y234" s="3">
        <v>100</v>
      </c>
    </row>
    <row r="235" spans="1:25" hidden="1" x14ac:dyDescent="0.3">
      <c r="A235">
        <v>509</v>
      </c>
      <c r="B235" t="s">
        <v>974</v>
      </c>
      <c r="C235" t="s">
        <v>47</v>
      </c>
      <c r="D235" t="s">
        <v>273</v>
      </c>
      <c r="E235" t="s">
        <v>28</v>
      </c>
      <c r="F235" t="s">
        <v>49</v>
      </c>
      <c r="G235" t="s">
        <v>30</v>
      </c>
      <c r="H235" t="s">
        <v>153</v>
      </c>
      <c r="J235" t="s">
        <v>975</v>
      </c>
      <c r="K235" t="s">
        <v>207</v>
      </c>
      <c r="L235" t="s">
        <v>978</v>
      </c>
      <c r="M235" t="s">
        <v>979</v>
      </c>
      <c r="N235" s="3" t="s">
        <v>59</v>
      </c>
      <c r="O235" s="3" t="s">
        <v>59</v>
      </c>
      <c r="P235" s="3" t="s">
        <v>59</v>
      </c>
      <c r="Q235" s="3">
        <v>91.11</v>
      </c>
      <c r="R235" s="3">
        <v>91.36</v>
      </c>
      <c r="S235" s="3">
        <v>89.89</v>
      </c>
      <c r="T235" s="3">
        <v>109.88</v>
      </c>
      <c r="U235" s="3">
        <v>85</v>
      </c>
      <c r="V235" s="3">
        <v>80.77</v>
      </c>
      <c r="W235" s="3">
        <v>80</v>
      </c>
      <c r="X235" s="3" t="s">
        <v>59</v>
      </c>
      <c r="Y235" s="3" t="s">
        <v>59</v>
      </c>
    </row>
    <row r="236" spans="1:25" hidden="1" x14ac:dyDescent="0.3">
      <c r="A236">
        <v>509</v>
      </c>
      <c r="B236" t="s">
        <v>974</v>
      </c>
      <c r="C236" t="s">
        <v>47</v>
      </c>
      <c r="D236" t="s">
        <v>273</v>
      </c>
      <c r="E236" t="s">
        <v>28</v>
      </c>
      <c r="F236" t="s">
        <v>49</v>
      </c>
      <c r="G236" t="s">
        <v>30</v>
      </c>
      <c r="H236" t="s">
        <v>153</v>
      </c>
      <c r="J236" t="s">
        <v>975</v>
      </c>
      <c r="K236" t="s">
        <v>207</v>
      </c>
      <c r="L236" t="s">
        <v>980</v>
      </c>
      <c r="M236" t="s">
        <v>981</v>
      </c>
      <c r="N236" s="3" t="s">
        <v>59</v>
      </c>
      <c r="O236" s="3" t="s">
        <v>59</v>
      </c>
      <c r="P236" s="3" t="s">
        <v>59</v>
      </c>
      <c r="Q236" s="3">
        <v>99</v>
      </c>
      <c r="R236" s="3">
        <v>102.08</v>
      </c>
      <c r="S236" s="3">
        <v>95.92</v>
      </c>
      <c r="T236" s="3">
        <v>95.92</v>
      </c>
      <c r="U236" s="3">
        <v>93.68</v>
      </c>
      <c r="V236" s="3" t="s">
        <v>59</v>
      </c>
      <c r="W236" s="3">
        <v>100</v>
      </c>
      <c r="X236" s="3">
        <v>100</v>
      </c>
      <c r="Y236" s="3">
        <v>100</v>
      </c>
    </row>
    <row r="237" spans="1:25" hidden="1" x14ac:dyDescent="0.3">
      <c r="A237">
        <v>509</v>
      </c>
      <c r="B237" t="s">
        <v>974</v>
      </c>
      <c r="C237" t="s">
        <v>47</v>
      </c>
      <c r="D237" t="s">
        <v>273</v>
      </c>
      <c r="E237" t="s">
        <v>28</v>
      </c>
      <c r="F237" t="s">
        <v>49</v>
      </c>
      <c r="G237" t="s">
        <v>30</v>
      </c>
      <c r="H237" t="s">
        <v>153</v>
      </c>
      <c r="J237" t="s">
        <v>975</v>
      </c>
      <c r="K237" t="s">
        <v>207</v>
      </c>
      <c r="L237" t="s">
        <v>982</v>
      </c>
      <c r="M237" t="s">
        <v>983</v>
      </c>
      <c r="N237" s="3" t="s">
        <v>59</v>
      </c>
      <c r="O237" s="3" t="s">
        <v>59</v>
      </c>
      <c r="P237" s="3" t="s">
        <v>59</v>
      </c>
      <c r="Q237" s="3">
        <v>98.7</v>
      </c>
      <c r="R237" s="3">
        <v>95.83</v>
      </c>
      <c r="S237" s="3" t="s">
        <v>59</v>
      </c>
      <c r="T237" s="3">
        <v>97.14</v>
      </c>
      <c r="U237" s="3">
        <v>94.44</v>
      </c>
      <c r="V237" s="3">
        <v>100</v>
      </c>
      <c r="W237" s="3" t="s">
        <v>59</v>
      </c>
      <c r="X237" s="3" t="s">
        <v>59</v>
      </c>
      <c r="Y237" s="3" t="s">
        <v>59</v>
      </c>
    </row>
    <row r="238" spans="1:25" hidden="1" x14ac:dyDescent="0.3">
      <c r="A238">
        <v>509</v>
      </c>
      <c r="B238" t="s">
        <v>974</v>
      </c>
      <c r="C238" t="s">
        <v>47</v>
      </c>
      <c r="D238" t="s">
        <v>273</v>
      </c>
      <c r="E238" t="s">
        <v>28</v>
      </c>
      <c r="F238" t="s">
        <v>49</v>
      </c>
      <c r="G238" t="s">
        <v>30</v>
      </c>
      <c r="H238" t="s">
        <v>153</v>
      </c>
      <c r="J238" t="s">
        <v>975</v>
      </c>
      <c r="K238" t="s">
        <v>207</v>
      </c>
      <c r="L238" t="s">
        <v>984</v>
      </c>
      <c r="M238" t="s">
        <v>985</v>
      </c>
      <c r="N238" s="3" t="s">
        <v>59</v>
      </c>
      <c r="O238" s="3" t="s">
        <v>59</v>
      </c>
      <c r="P238" s="3" t="s">
        <v>59</v>
      </c>
      <c r="Q238" s="3">
        <v>98.85</v>
      </c>
      <c r="R238" s="3">
        <v>100</v>
      </c>
      <c r="S238" s="3">
        <v>98.57</v>
      </c>
      <c r="T238" s="3">
        <v>98.57</v>
      </c>
      <c r="U238" s="3">
        <v>100</v>
      </c>
      <c r="V238" s="3">
        <v>100</v>
      </c>
      <c r="W238" s="3">
        <v>94</v>
      </c>
      <c r="X238" s="3">
        <v>97.53</v>
      </c>
      <c r="Y238" s="3">
        <v>98.77</v>
      </c>
    </row>
    <row r="239" spans="1:25" hidden="1" x14ac:dyDescent="0.3">
      <c r="A239">
        <v>509</v>
      </c>
      <c r="B239" t="s">
        <v>974</v>
      </c>
      <c r="C239" t="s">
        <v>47</v>
      </c>
      <c r="D239" t="s">
        <v>273</v>
      </c>
      <c r="E239" t="s">
        <v>28</v>
      </c>
      <c r="F239" t="s">
        <v>49</v>
      </c>
      <c r="G239" t="s">
        <v>30</v>
      </c>
      <c r="H239" t="s">
        <v>153</v>
      </c>
      <c r="J239" t="s">
        <v>975</v>
      </c>
      <c r="K239" t="s">
        <v>207</v>
      </c>
      <c r="L239" t="s">
        <v>986</v>
      </c>
      <c r="M239" t="s">
        <v>987</v>
      </c>
      <c r="N239" s="3" t="s">
        <v>59</v>
      </c>
      <c r="O239" s="3" t="s">
        <v>59</v>
      </c>
      <c r="P239" s="3" t="s">
        <v>59</v>
      </c>
      <c r="Q239" s="3" t="s">
        <v>59</v>
      </c>
      <c r="R239" s="3">
        <v>21.43</v>
      </c>
      <c r="S239" s="3" t="s">
        <v>59</v>
      </c>
      <c r="T239" s="3" t="s">
        <v>59</v>
      </c>
      <c r="U239" s="3">
        <v>70.59</v>
      </c>
      <c r="V239" s="3" t="s">
        <v>59</v>
      </c>
      <c r="W239" s="3">
        <v>83.33</v>
      </c>
      <c r="X239" s="3" t="s">
        <v>59</v>
      </c>
      <c r="Y239" s="3" t="s">
        <v>59</v>
      </c>
    </row>
    <row r="240" spans="1:25" hidden="1" x14ac:dyDescent="0.3">
      <c r="A240">
        <v>509</v>
      </c>
      <c r="B240" t="s">
        <v>974</v>
      </c>
      <c r="C240" t="s">
        <v>47</v>
      </c>
      <c r="D240" t="s">
        <v>273</v>
      </c>
      <c r="E240" t="s">
        <v>28</v>
      </c>
      <c r="F240" t="s">
        <v>49</v>
      </c>
      <c r="G240" t="s">
        <v>30</v>
      </c>
      <c r="H240" t="s">
        <v>153</v>
      </c>
      <c r="J240" t="s">
        <v>975</v>
      </c>
      <c r="K240" t="s">
        <v>207</v>
      </c>
      <c r="L240" t="s">
        <v>988</v>
      </c>
      <c r="M240" t="s">
        <v>989</v>
      </c>
      <c r="N240" s="3" t="s">
        <v>59</v>
      </c>
      <c r="O240" s="3" t="s">
        <v>59</v>
      </c>
      <c r="P240" s="3" t="s">
        <v>59</v>
      </c>
      <c r="Q240" s="3">
        <v>92.45</v>
      </c>
      <c r="R240" s="3">
        <v>92.31</v>
      </c>
      <c r="S240" s="3">
        <v>95.45</v>
      </c>
      <c r="T240" s="3" t="s">
        <v>59</v>
      </c>
      <c r="U240" s="3">
        <v>90.91</v>
      </c>
      <c r="V240" s="3" t="s">
        <v>59</v>
      </c>
      <c r="W240" s="3">
        <v>100</v>
      </c>
      <c r="X240" s="3" t="s">
        <v>59</v>
      </c>
      <c r="Y240" s="3" t="s">
        <v>59</v>
      </c>
    </row>
    <row r="241" spans="1:25" hidden="1" x14ac:dyDescent="0.3">
      <c r="A241">
        <v>509</v>
      </c>
      <c r="B241" t="s">
        <v>974</v>
      </c>
      <c r="C241" t="s">
        <v>47</v>
      </c>
      <c r="D241" t="s">
        <v>273</v>
      </c>
      <c r="E241" t="s">
        <v>28</v>
      </c>
      <c r="F241" t="s">
        <v>49</v>
      </c>
      <c r="G241" t="s">
        <v>30</v>
      </c>
      <c r="H241" t="s">
        <v>153</v>
      </c>
      <c r="J241" t="s">
        <v>975</v>
      </c>
      <c r="K241" t="s">
        <v>207</v>
      </c>
      <c r="L241" t="s">
        <v>990</v>
      </c>
      <c r="M241" t="s">
        <v>991</v>
      </c>
      <c r="N241" s="3" t="s">
        <v>59</v>
      </c>
      <c r="O241" s="3" t="s">
        <v>59</v>
      </c>
      <c r="P241" s="3" t="s">
        <v>59</v>
      </c>
      <c r="Q241" s="3">
        <v>97.94</v>
      </c>
      <c r="R241" s="3">
        <v>94.51</v>
      </c>
      <c r="S241" s="3" t="s">
        <v>59</v>
      </c>
      <c r="T241" s="3" t="s">
        <v>59</v>
      </c>
      <c r="U241" s="3">
        <v>94.29</v>
      </c>
      <c r="V241" s="3">
        <v>95.71</v>
      </c>
      <c r="W241" s="3">
        <v>94.44</v>
      </c>
      <c r="X241" s="3">
        <v>97.22</v>
      </c>
      <c r="Y241" s="3" t="s">
        <v>59</v>
      </c>
    </row>
    <row r="242" spans="1:25" hidden="1" x14ac:dyDescent="0.3">
      <c r="A242">
        <v>509</v>
      </c>
      <c r="B242" t="s">
        <v>974</v>
      </c>
      <c r="C242" t="s">
        <v>47</v>
      </c>
      <c r="D242" t="s">
        <v>273</v>
      </c>
      <c r="E242" t="s">
        <v>28</v>
      </c>
      <c r="F242" t="s">
        <v>49</v>
      </c>
      <c r="G242" t="s">
        <v>30</v>
      </c>
      <c r="H242" t="s">
        <v>153</v>
      </c>
      <c r="J242" t="s">
        <v>975</v>
      </c>
      <c r="K242" t="s">
        <v>207</v>
      </c>
      <c r="L242" t="s">
        <v>992</v>
      </c>
      <c r="M242" t="s">
        <v>993</v>
      </c>
      <c r="N242" s="3" t="s">
        <v>59</v>
      </c>
      <c r="O242" s="3" t="s">
        <v>59</v>
      </c>
      <c r="P242" s="3" t="s">
        <v>59</v>
      </c>
      <c r="Q242" s="3">
        <v>97.94</v>
      </c>
      <c r="R242" s="3">
        <v>95.06</v>
      </c>
      <c r="S242" s="3" t="s">
        <v>59</v>
      </c>
      <c r="T242" s="3" t="s">
        <v>59</v>
      </c>
      <c r="U242" s="3">
        <v>98.08</v>
      </c>
      <c r="V242" s="3">
        <v>90.32</v>
      </c>
      <c r="W242" s="3">
        <v>100</v>
      </c>
      <c r="X242" s="3" t="s">
        <v>59</v>
      </c>
      <c r="Y242" s="3" t="s">
        <v>59</v>
      </c>
    </row>
    <row r="243" spans="1:25" hidden="1" x14ac:dyDescent="0.3">
      <c r="A243">
        <v>509</v>
      </c>
      <c r="B243" t="s">
        <v>974</v>
      </c>
      <c r="C243" t="s">
        <v>47</v>
      </c>
      <c r="D243" t="s">
        <v>273</v>
      </c>
      <c r="E243" t="s">
        <v>28</v>
      </c>
      <c r="F243" t="s">
        <v>49</v>
      </c>
      <c r="G243" t="s">
        <v>30</v>
      </c>
      <c r="H243" t="s">
        <v>153</v>
      </c>
      <c r="J243" t="s">
        <v>975</v>
      </c>
      <c r="K243" t="s">
        <v>207</v>
      </c>
      <c r="L243" t="s">
        <v>994</v>
      </c>
      <c r="M243" t="s">
        <v>995</v>
      </c>
      <c r="N243" s="3" t="s">
        <v>59</v>
      </c>
      <c r="O243" s="3" t="s">
        <v>59</v>
      </c>
      <c r="P243" s="3" t="s">
        <v>59</v>
      </c>
      <c r="Q243" s="3">
        <v>95.56</v>
      </c>
      <c r="R243" s="3">
        <v>96.84</v>
      </c>
      <c r="S243" s="3" t="s">
        <v>59</v>
      </c>
      <c r="T243" s="3" t="s">
        <v>59</v>
      </c>
      <c r="U243" s="3">
        <v>97.73</v>
      </c>
      <c r="V243" s="3">
        <v>95</v>
      </c>
      <c r="W243" s="3" t="s">
        <v>59</v>
      </c>
      <c r="X243" s="3" t="s">
        <v>59</v>
      </c>
      <c r="Y243" s="3" t="s">
        <v>59</v>
      </c>
    </row>
    <row r="244" spans="1:25" hidden="1" x14ac:dyDescent="0.3">
      <c r="A244">
        <v>509</v>
      </c>
      <c r="B244" t="s">
        <v>974</v>
      </c>
      <c r="C244" t="s">
        <v>47</v>
      </c>
      <c r="D244" t="s">
        <v>273</v>
      </c>
      <c r="E244" t="s">
        <v>28</v>
      </c>
      <c r="F244" t="s">
        <v>49</v>
      </c>
      <c r="G244" t="s">
        <v>30</v>
      </c>
      <c r="H244" t="s">
        <v>153</v>
      </c>
      <c r="J244" t="s">
        <v>975</v>
      </c>
      <c r="K244" t="s">
        <v>207</v>
      </c>
      <c r="L244" t="s">
        <v>996</v>
      </c>
      <c r="M244" t="s">
        <v>997</v>
      </c>
      <c r="N244" s="3" t="s">
        <v>59</v>
      </c>
      <c r="O244" s="3" t="s">
        <v>59</v>
      </c>
      <c r="P244" s="3" t="s">
        <v>59</v>
      </c>
      <c r="Q244" s="3">
        <v>94.44</v>
      </c>
      <c r="R244" s="3" t="s">
        <v>59</v>
      </c>
      <c r="S244" s="3">
        <v>97.14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</row>
    <row r="245" spans="1:25" hidden="1" x14ac:dyDescent="0.3">
      <c r="A245">
        <v>509</v>
      </c>
      <c r="B245" t="s">
        <v>974</v>
      </c>
      <c r="C245" t="s">
        <v>47</v>
      </c>
      <c r="D245" t="s">
        <v>273</v>
      </c>
      <c r="E245" t="s">
        <v>28</v>
      </c>
      <c r="F245" t="s">
        <v>49</v>
      </c>
      <c r="G245" t="s">
        <v>30</v>
      </c>
      <c r="H245" t="s">
        <v>153</v>
      </c>
      <c r="J245" t="s">
        <v>975</v>
      </c>
      <c r="K245" t="s">
        <v>207</v>
      </c>
      <c r="L245" t="s">
        <v>998</v>
      </c>
      <c r="M245" t="s">
        <v>999</v>
      </c>
      <c r="N245" s="3" t="s">
        <v>59</v>
      </c>
      <c r="O245" s="3" t="s">
        <v>59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 t="s">
        <v>59</v>
      </c>
      <c r="V245" s="3" t="s">
        <v>59</v>
      </c>
      <c r="W245" s="3" t="s">
        <v>59</v>
      </c>
      <c r="X245" s="3" t="s">
        <v>59</v>
      </c>
      <c r="Y245" s="3" t="s">
        <v>59</v>
      </c>
    </row>
    <row r="246" spans="1:25" hidden="1" x14ac:dyDescent="0.3">
      <c r="A246">
        <v>509</v>
      </c>
      <c r="B246" t="s">
        <v>974</v>
      </c>
      <c r="C246" t="s">
        <v>47</v>
      </c>
      <c r="D246" t="s">
        <v>273</v>
      </c>
      <c r="E246" t="s">
        <v>28</v>
      </c>
      <c r="F246" t="s">
        <v>49</v>
      </c>
      <c r="G246" t="s">
        <v>30</v>
      </c>
      <c r="H246" t="s">
        <v>153</v>
      </c>
      <c r="J246" t="s">
        <v>975</v>
      </c>
      <c r="K246" t="s">
        <v>207</v>
      </c>
      <c r="L246" t="s">
        <v>1000</v>
      </c>
      <c r="M246" t="s">
        <v>1001</v>
      </c>
      <c r="N246" s="3" t="s">
        <v>59</v>
      </c>
      <c r="O246" s="3" t="s">
        <v>59</v>
      </c>
      <c r="P246" s="3" t="s">
        <v>59</v>
      </c>
      <c r="Q246" s="3" t="s">
        <v>59</v>
      </c>
      <c r="R246" s="3" t="s">
        <v>59</v>
      </c>
      <c r="S246" s="3" t="s">
        <v>59</v>
      </c>
      <c r="T246" s="3" t="s">
        <v>59</v>
      </c>
      <c r="U246" s="3" t="s">
        <v>59</v>
      </c>
      <c r="V246" s="3" t="s">
        <v>59</v>
      </c>
      <c r="W246" s="3" t="s">
        <v>59</v>
      </c>
      <c r="X246" s="3" t="s">
        <v>59</v>
      </c>
      <c r="Y246" s="3" t="s">
        <v>59</v>
      </c>
    </row>
    <row r="247" spans="1:25" hidden="1" x14ac:dyDescent="0.3">
      <c r="A247">
        <v>509</v>
      </c>
      <c r="B247" t="s">
        <v>974</v>
      </c>
      <c r="C247" t="s">
        <v>47</v>
      </c>
      <c r="D247" t="s">
        <v>273</v>
      </c>
      <c r="E247" t="s">
        <v>28</v>
      </c>
      <c r="F247" t="s">
        <v>49</v>
      </c>
      <c r="G247" t="s">
        <v>30</v>
      </c>
      <c r="H247" t="s">
        <v>153</v>
      </c>
      <c r="J247" t="s">
        <v>975</v>
      </c>
      <c r="K247" t="s">
        <v>207</v>
      </c>
      <c r="L247" t="s">
        <v>1002</v>
      </c>
      <c r="M247" t="s">
        <v>1003</v>
      </c>
      <c r="N247" s="3" t="s">
        <v>59</v>
      </c>
      <c r="O247" s="3" t="s">
        <v>59</v>
      </c>
      <c r="P247" s="3" t="s">
        <v>59</v>
      </c>
      <c r="Q247" s="3" t="s">
        <v>59</v>
      </c>
      <c r="R247" s="3" t="s">
        <v>59</v>
      </c>
      <c r="S247" s="3" t="s">
        <v>59</v>
      </c>
      <c r="T247" s="3" t="s">
        <v>59</v>
      </c>
      <c r="U247" s="3" t="s">
        <v>59</v>
      </c>
      <c r="V247" s="3" t="s">
        <v>59</v>
      </c>
      <c r="W247" s="3" t="s">
        <v>59</v>
      </c>
      <c r="X247" s="3" t="s">
        <v>59</v>
      </c>
      <c r="Y247" s="3" t="s">
        <v>59</v>
      </c>
    </row>
    <row r="248" spans="1:25" hidden="1" x14ac:dyDescent="0.3">
      <c r="A248">
        <v>509</v>
      </c>
      <c r="B248" t="s">
        <v>974</v>
      </c>
      <c r="C248" t="s">
        <v>47</v>
      </c>
      <c r="D248" t="s">
        <v>273</v>
      </c>
      <c r="E248" t="s">
        <v>28</v>
      </c>
      <c r="F248" t="s">
        <v>49</v>
      </c>
      <c r="G248" t="s">
        <v>30</v>
      </c>
      <c r="H248" t="s">
        <v>153</v>
      </c>
      <c r="J248" t="s">
        <v>975</v>
      </c>
      <c r="K248" t="s">
        <v>207</v>
      </c>
      <c r="L248" t="s">
        <v>1004</v>
      </c>
      <c r="M248" t="s">
        <v>1005</v>
      </c>
      <c r="N248" s="3" t="s">
        <v>59</v>
      </c>
      <c r="O248" s="3" t="s">
        <v>59</v>
      </c>
      <c r="P248" s="3" t="s">
        <v>59</v>
      </c>
      <c r="Q248" s="3" t="s">
        <v>59</v>
      </c>
      <c r="R248" s="3" t="s">
        <v>59</v>
      </c>
      <c r="S248" s="3" t="s">
        <v>59</v>
      </c>
      <c r="T248" s="3" t="s">
        <v>59</v>
      </c>
      <c r="U248" s="3" t="s">
        <v>59</v>
      </c>
      <c r="V248" s="3" t="s">
        <v>59</v>
      </c>
      <c r="W248" s="3" t="s">
        <v>59</v>
      </c>
      <c r="X248" s="3" t="s">
        <v>59</v>
      </c>
      <c r="Y248" s="3" t="s">
        <v>59</v>
      </c>
    </row>
    <row r="249" spans="1:25" hidden="1" x14ac:dyDescent="0.3">
      <c r="A249">
        <v>509</v>
      </c>
      <c r="B249" t="s">
        <v>974</v>
      </c>
      <c r="C249" t="s">
        <v>47</v>
      </c>
      <c r="D249" t="s">
        <v>273</v>
      </c>
      <c r="E249" t="s">
        <v>28</v>
      </c>
      <c r="F249" t="s">
        <v>49</v>
      </c>
      <c r="G249" t="s">
        <v>30</v>
      </c>
      <c r="H249" t="s">
        <v>153</v>
      </c>
      <c r="J249" t="s">
        <v>975</v>
      </c>
      <c r="K249" t="s">
        <v>207</v>
      </c>
      <c r="L249" t="s">
        <v>1006</v>
      </c>
      <c r="M249" t="s">
        <v>1007</v>
      </c>
      <c r="N249" s="3" t="s">
        <v>59</v>
      </c>
      <c r="O249" s="3" t="s">
        <v>59</v>
      </c>
      <c r="P249" s="3" t="s">
        <v>59</v>
      </c>
      <c r="Q249" s="3">
        <v>97.14</v>
      </c>
      <c r="R249" s="3">
        <v>100</v>
      </c>
      <c r="S249" s="3" t="s">
        <v>59</v>
      </c>
      <c r="T249" s="3" t="s">
        <v>59</v>
      </c>
      <c r="U249" s="3" t="s">
        <v>59</v>
      </c>
      <c r="V249" s="3" t="s">
        <v>59</v>
      </c>
      <c r="W249" s="3" t="s">
        <v>59</v>
      </c>
      <c r="X249" s="3" t="s">
        <v>59</v>
      </c>
      <c r="Y249" s="3" t="s">
        <v>59</v>
      </c>
    </row>
    <row r="250" spans="1:25" hidden="1" x14ac:dyDescent="0.3">
      <c r="A250">
        <v>509</v>
      </c>
      <c r="B250" t="s">
        <v>974</v>
      </c>
      <c r="C250" t="s">
        <v>47</v>
      </c>
      <c r="D250" t="s">
        <v>273</v>
      </c>
      <c r="E250" t="s">
        <v>28</v>
      </c>
      <c r="F250" t="s">
        <v>49</v>
      </c>
      <c r="G250" t="s">
        <v>30</v>
      </c>
      <c r="H250" t="s">
        <v>153</v>
      </c>
      <c r="J250" t="s">
        <v>975</v>
      </c>
      <c r="K250" t="s">
        <v>207</v>
      </c>
      <c r="L250" t="s">
        <v>1008</v>
      </c>
      <c r="M250" t="s">
        <v>1009</v>
      </c>
      <c r="N250" s="3" t="s">
        <v>59</v>
      </c>
      <c r="O250" s="3" t="s">
        <v>59</v>
      </c>
      <c r="P250" s="3" t="s">
        <v>59</v>
      </c>
      <c r="Q250" s="3" t="s">
        <v>59</v>
      </c>
      <c r="R250" s="3" t="s">
        <v>59</v>
      </c>
      <c r="S250" s="3" t="s">
        <v>59</v>
      </c>
      <c r="T250" s="3" t="s">
        <v>59</v>
      </c>
      <c r="U250" s="3" t="s">
        <v>59</v>
      </c>
      <c r="V250" s="3" t="s">
        <v>59</v>
      </c>
      <c r="W250" s="3" t="s">
        <v>59</v>
      </c>
      <c r="X250" s="3" t="s">
        <v>59</v>
      </c>
      <c r="Y250" s="3" t="s">
        <v>59</v>
      </c>
    </row>
    <row r="251" spans="1:25" hidden="1" x14ac:dyDescent="0.3">
      <c r="A251">
        <v>509</v>
      </c>
      <c r="B251" t="s">
        <v>974</v>
      </c>
      <c r="C251" t="s">
        <v>47</v>
      </c>
      <c r="D251" t="s">
        <v>273</v>
      </c>
      <c r="E251" t="s">
        <v>28</v>
      </c>
      <c r="F251" t="s">
        <v>49</v>
      </c>
      <c r="G251" t="s">
        <v>30</v>
      </c>
      <c r="H251" t="s">
        <v>153</v>
      </c>
      <c r="J251" t="s">
        <v>975</v>
      </c>
      <c r="K251" t="s">
        <v>207</v>
      </c>
      <c r="L251" t="s">
        <v>1010</v>
      </c>
      <c r="M251" t="s">
        <v>1011</v>
      </c>
      <c r="N251" s="3" t="s">
        <v>59</v>
      </c>
      <c r="O251" s="3" t="s">
        <v>59</v>
      </c>
      <c r="P251" s="3" t="s">
        <v>59</v>
      </c>
      <c r="Q251" s="3">
        <v>100</v>
      </c>
      <c r="R251" s="3">
        <v>95.12</v>
      </c>
      <c r="S251" s="3">
        <v>100</v>
      </c>
      <c r="T251" s="3" t="s">
        <v>59</v>
      </c>
      <c r="U251" s="3" t="s">
        <v>59</v>
      </c>
      <c r="V251" s="3" t="s">
        <v>59</v>
      </c>
      <c r="W251" s="3" t="s">
        <v>59</v>
      </c>
      <c r="X251" s="3" t="s">
        <v>59</v>
      </c>
      <c r="Y251" s="3" t="s">
        <v>59</v>
      </c>
    </row>
    <row r="252" spans="1:25" hidden="1" x14ac:dyDescent="0.3">
      <c r="A252" s="1">
        <v>68</v>
      </c>
      <c r="B252" s="1" t="s">
        <v>25</v>
      </c>
      <c r="C252" s="1" t="s">
        <v>26</v>
      </c>
      <c r="D252" s="1" t="s">
        <v>27</v>
      </c>
      <c r="E252" s="1" t="s">
        <v>28</v>
      </c>
      <c r="F252" s="1" t="s">
        <v>29</v>
      </c>
      <c r="G252" s="1" t="s">
        <v>30</v>
      </c>
      <c r="H252" s="1" t="s">
        <v>31</v>
      </c>
      <c r="I252" s="1">
        <v>85</v>
      </c>
      <c r="J252" s="1" t="s">
        <v>32</v>
      </c>
      <c r="K252" s="1" t="s">
        <v>33</v>
      </c>
      <c r="L252" s="1" t="s">
        <v>33</v>
      </c>
      <c r="M252" s="1" t="s">
        <v>34</v>
      </c>
      <c r="N252" s="3"/>
      <c r="O252" s="4">
        <v>85.3</v>
      </c>
      <c r="P252" s="4">
        <v>87.5</v>
      </c>
      <c r="Q252" s="4">
        <v>86</v>
      </c>
      <c r="R252" s="4">
        <v>85</v>
      </c>
      <c r="S252" s="5">
        <v>91.5</v>
      </c>
      <c r="T252" s="5">
        <v>93</v>
      </c>
      <c r="U252" s="5">
        <v>89</v>
      </c>
      <c r="V252" s="5">
        <v>94.8</v>
      </c>
      <c r="W252" s="5">
        <v>98</v>
      </c>
      <c r="X252" s="5">
        <v>94</v>
      </c>
      <c r="Y252" s="5">
        <v>96</v>
      </c>
    </row>
    <row r="253" spans="1:25" hidden="1" x14ac:dyDescent="0.3">
      <c r="A253" s="1">
        <v>73</v>
      </c>
      <c r="B253" s="1" t="s">
        <v>38</v>
      </c>
      <c r="C253" s="1" t="s">
        <v>26</v>
      </c>
      <c r="D253" s="1" t="s">
        <v>39</v>
      </c>
      <c r="E253" s="1" t="s">
        <v>40</v>
      </c>
      <c r="F253" s="1" t="s">
        <v>29</v>
      </c>
      <c r="G253" s="1" t="s">
        <v>41</v>
      </c>
      <c r="H253" s="1" t="s">
        <v>31</v>
      </c>
      <c r="I253" s="1">
        <v>20</v>
      </c>
      <c r="J253" s="1" t="s">
        <v>42</v>
      </c>
      <c r="K253" s="1" t="s">
        <v>33</v>
      </c>
      <c r="L253" s="1" t="s">
        <v>33</v>
      </c>
      <c r="M253" s="1" t="s">
        <v>34</v>
      </c>
      <c r="N253" s="4">
        <v>20</v>
      </c>
      <c r="O253" s="4">
        <v>19</v>
      </c>
      <c r="P253" s="4">
        <v>17</v>
      </c>
      <c r="Q253" s="4">
        <v>20</v>
      </c>
      <c r="R253" s="4">
        <v>17</v>
      </c>
      <c r="S253" s="4">
        <v>19</v>
      </c>
      <c r="T253" s="4">
        <v>20</v>
      </c>
      <c r="U253" s="4">
        <v>17.670000000000002</v>
      </c>
      <c r="V253" s="4">
        <v>15.5</v>
      </c>
      <c r="W253" s="4">
        <v>12.4</v>
      </c>
      <c r="X253" s="4">
        <v>14.15</v>
      </c>
      <c r="Y253" s="4">
        <v>18.41</v>
      </c>
    </row>
    <row r="254" spans="1:25" hidden="1" x14ac:dyDescent="0.3">
      <c r="A254" s="1">
        <v>74</v>
      </c>
      <c r="B254" s="1" t="s">
        <v>43</v>
      </c>
      <c r="C254" s="1" t="s">
        <v>26</v>
      </c>
      <c r="D254" s="1" t="s">
        <v>39</v>
      </c>
      <c r="E254" s="1" t="s">
        <v>44</v>
      </c>
      <c r="F254" s="1" t="s">
        <v>29</v>
      </c>
      <c r="G254" s="1" t="s">
        <v>30</v>
      </c>
      <c r="H254" s="1" t="s">
        <v>31</v>
      </c>
      <c r="I254" s="1">
        <v>80</v>
      </c>
      <c r="J254" s="1" t="s">
        <v>45</v>
      </c>
      <c r="K254" s="1" t="s">
        <v>33</v>
      </c>
      <c r="L254" s="1" t="s">
        <v>33</v>
      </c>
      <c r="M254" s="1" t="s">
        <v>34</v>
      </c>
      <c r="N254" s="5">
        <v>90.32</v>
      </c>
      <c r="O254" s="5">
        <v>91.49</v>
      </c>
      <c r="P254" s="5">
        <v>95.45</v>
      </c>
      <c r="Q254" s="5">
        <v>91.53</v>
      </c>
      <c r="R254" s="5">
        <v>94.64</v>
      </c>
      <c r="S254" s="5">
        <v>87.179487179486998</v>
      </c>
      <c r="T254" s="4">
        <v>82.894736842105004</v>
      </c>
      <c r="U254" s="5">
        <v>88</v>
      </c>
      <c r="V254" s="5">
        <v>91.071428571428569</v>
      </c>
      <c r="W254" s="4">
        <v>83.2</v>
      </c>
      <c r="X254" s="5">
        <v>96.491228070175438</v>
      </c>
      <c r="Y254" s="4">
        <v>80.327868852459019</v>
      </c>
    </row>
    <row r="255" spans="1:25" hidden="1" x14ac:dyDescent="0.3">
      <c r="A255" s="1">
        <v>86</v>
      </c>
      <c r="B255" s="1" t="s">
        <v>57</v>
      </c>
      <c r="C255" s="1" t="s">
        <v>47</v>
      </c>
      <c r="D255" s="1" t="s">
        <v>52</v>
      </c>
      <c r="E255" s="1" t="s">
        <v>28</v>
      </c>
      <c r="F255" s="1" t="s">
        <v>29</v>
      </c>
      <c r="G255" s="1" t="s">
        <v>30</v>
      </c>
      <c r="H255" s="1" t="s">
        <v>31</v>
      </c>
      <c r="I255" s="1">
        <v>100</v>
      </c>
      <c r="J255" s="1" t="s">
        <v>58</v>
      </c>
      <c r="K255" s="1" t="s">
        <v>33</v>
      </c>
      <c r="L255" s="1" t="s">
        <v>33</v>
      </c>
      <c r="M255" s="1" t="s">
        <v>34</v>
      </c>
      <c r="N255" s="4">
        <v>100</v>
      </c>
      <c r="O255" s="4">
        <v>100</v>
      </c>
      <c r="P255" s="4">
        <v>100</v>
      </c>
      <c r="Q255" s="4">
        <v>100</v>
      </c>
      <c r="R255" s="4">
        <v>100</v>
      </c>
      <c r="S255" s="4">
        <v>100</v>
      </c>
      <c r="T255" s="4">
        <v>100</v>
      </c>
      <c r="U255" s="4">
        <v>100</v>
      </c>
      <c r="V255" s="4">
        <v>100</v>
      </c>
      <c r="W255" s="4">
        <v>100</v>
      </c>
      <c r="X255" s="3" t="s">
        <v>59</v>
      </c>
      <c r="Y255" s="4">
        <v>100</v>
      </c>
    </row>
    <row r="256" spans="1:25" hidden="1" x14ac:dyDescent="0.3">
      <c r="A256" s="1">
        <v>95</v>
      </c>
      <c r="B256" s="1" t="s">
        <v>74</v>
      </c>
      <c r="C256" s="1" t="s">
        <v>26</v>
      </c>
      <c r="D256" s="1" t="s">
        <v>52</v>
      </c>
      <c r="E256" s="1" t="s">
        <v>28</v>
      </c>
      <c r="F256" s="1" t="s">
        <v>29</v>
      </c>
      <c r="G256" s="1" t="s">
        <v>30</v>
      </c>
      <c r="H256" s="1" t="s">
        <v>31</v>
      </c>
      <c r="I256" s="1">
        <v>100</v>
      </c>
      <c r="J256" s="1" t="s">
        <v>75</v>
      </c>
      <c r="K256" s="1" t="s">
        <v>33</v>
      </c>
      <c r="L256" s="1" t="s">
        <v>33</v>
      </c>
      <c r="M256" s="1" t="s">
        <v>34</v>
      </c>
      <c r="N256" s="4">
        <v>100</v>
      </c>
      <c r="O256" s="4">
        <v>100</v>
      </c>
      <c r="P256" s="4">
        <v>100</v>
      </c>
      <c r="Q256" s="4">
        <v>100</v>
      </c>
      <c r="R256" s="4">
        <v>100</v>
      </c>
      <c r="S256" s="4">
        <v>100</v>
      </c>
      <c r="T256" s="4">
        <v>100</v>
      </c>
      <c r="U256" s="4">
        <v>100</v>
      </c>
      <c r="V256" s="4">
        <v>100</v>
      </c>
      <c r="W256" s="4">
        <v>100</v>
      </c>
      <c r="X256" s="4">
        <v>100</v>
      </c>
      <c r="Y256" s="7">
        <v>33.333333333333329</v>
      </c>
    </row>
    <row r="257" spans="1:25" hidden="1" x14ac:dyDescent="0.3">
      <c r="A257" s="1">
        <v>143</v>
      </c>
      <c r="B257" s="1" t="s">
        <v>114</v>
      </c>
      <c r="C257" s="1" t="s">
        <v>26</v>
      </c>
      <c r="D257" s="1" t="s">
        <v>115</v>
      </c>
      <c r="E257" s="1" t="s">
        <v>116</v>
      </c>
      <c r="F257" s="1" t="s">
        <v>29</v>
      </c>
      <c r="G257" s="1" t="s">
        <v>30</v>
      </c>
      <c r="H257" s="1" t="s">
        <v>31</v>
      </c>
      <c r="I257" s="1" t="s">
        <v>117</v>
      </c>
      <c r="J257" s="1" t="s">
        <v>118</v>
      </c>
      <c r="K257" s="1" t="s">
        <v>33</v>
      </c>
      <c r="L257" s="1" t="s">
        <v>33</v>
      </c>
      <c r="M257" s="1" t="s">
        <v>34</v>
      </c>
      <c r="N257" s="8">
        <v>191</v>
      </c>
      <c r="O257" s="8">
        <v>159</v>
      </c>
      <c r="P257" s="8">
        <v>135</v>
      </c>
      <c r="Q257" s="8">
        <v>112</v>
      </c>
      <c r="R257" s="8">
        <v>146</v>
      </c>
      <c r="S257" s="8">
        <v>146</v>
      </c>
      <c r="T257" s="8">
        <v>158</v>
      </c>
      <c r="U257" s="8">
        <v>147</v>
      </c>
      <c r="V257" s="8">
        <v>144</v>
      </c>
      <c r="W257" s="8">
        <v>86</v>
      </c>
      <c r="X257" s="8">
        <v>143</v>
      </c>
      <c r="Y257" s="8">
        <v>84</v>
      </c>
    </row>
    <row r="258" spans="1:25" hidden="1" x14ac:dyDescent="0.3">
      <c r="A258" s="1">
        <v>145</v>
      </c>
      <c r="B258" s="1" t="s">
        <v>121</v>
      </c>
      <c r="C258" s="1" t="s">
        <v>47</v>
      </c>
      <c r="D258" s="1" t="s">
        <v>122</v>
      </c>
      <c r="E258" s="1" t="s">
        <v>28</v>
      </c>
      <c r="F258" s="1" t="s">
        <v>29</v>
      </c>
      <c r="G258" s="1" t="s">
        <v>30</v>
      </c>
      <c r="H258" s="1" t="s">
        <v>31</v>
      </c>
      <c r="I258" s="1">
        <v>1</v>
      </c>
      <c r="J258" s="1" t="s">
        <v>123</v>
      </c>
      <c r="K258" s="1" t="s">
        <v>33</v>
      </c>
      <c r="L258" s="1" t="s">
        <v>33</v>
      </c>
      <c r="M258" s="1" t="s">
        <v>34</v>
      </c>
      <c r="N258" s="4">
        <v>1.62</v>
      </c>
      <c r="O258" s="4">
        <v>1.74</v>
      </c>
      <c r="P258" s="4">
        <v>1.94</v>
      </c>
      <c r="Q258" s="4">
        <v>1.97</v>
      </c>
      <c r="R258" s="4">
        <v>2</v>
      </c>
      <c r="S258" s="4">
        <v>2</v>
      </c>
      <c r="T258" s="4">
        <v>2.1186440677966001</v>
      </c>
      <c r="U258" s="4">
        <v>2.1186440677966001</v>
      </c>
      <c r="V258" s="4">
        <v>2.145161290322581</v>
      </c>
      <c r="W258" s="4">
        <v>2.096774193548387</v>
      </c>
      <c r="X258" s="4">
        <v>1.6233766233766229</v>
      </c>
      <c r="Y258" s="4">
        <v>1.545454545454545</v>
      </c>
    </row>
    <row r="259" spans="1:25" hidden="1" x14ac:dyDescent="0.3">
      <c r="A259" s="1">
        <v>146</v>
      </c>
      <c r="B259" s="1" t="s">
        <v>124</v>
      </c>
      <c r="C259" s="1" t="s">
        <v>47</v>
      </c>
      <c r="D259" s="1" t="s">
        <v>115</v>
      </c>
      <c r="E259" s="1" t="s">
        <v>40</v>
      </c>
      <c r="F259" s="1" t="s">
        <v>29</v>
      </c>
      <c r="G259" s="1" t="s">
        <v>30</v>
      </c>
      <c r="H259" s="1" t="s">
        <v>31</v>
      </c>
      <c r="I259" s="1">
        <v>100</v>
      </c>
      <c r="J259" s="1" t="s">
        <v>125</v>
      </c>
      <c r="K259" s="1" t="s">
        <v>33</v>
      </c>
      <c r="L259" s="1" t="s">
        <v>33</v>
      </c>
      <c r="M259" s="1" t="s">
        <v>34</v>
      </c>
      <c r="N259" s="5">
        <v>133</v>
      </c>
      <c r="O259" s="5">
        <v>107</v>
      </c>
      <c r="P259" s="5">
        <v>116.67</v>
      </c>
      <c r="Q259" s="5">
        <v>113.61</v>
      </c>
      <c r="R259" s="5">
        <v>148.69999999999999</v>
      </c>
      <c r="S259" s="5">
        <v>120.87</v>
      </c>
      <c r="T259" s="5">
        <v>121.74</v>
      </c>
      <c r="U259" s="4">
        <v>100.43</v>
      </c>
      <c r="V259" s="4">
        <v>103.91</v>
      </c>
      <c r="W259" s="6">
        <v>83.48</v>
      </c>
      <c r="X259" s="4">
        <v>103.5</v>
      </c>
      <c r="Y259" s="6">
        <v>80</v>
      </c>
    </row>
    <row r="260" spans="1:25" hidden="1" x14ac:dyDescent="0.3">
      <c r="A260" s="1">
        <v>148</v>
      </c>
      <c r="B260" s="1" t="s">
        <v>128</v>
      </c>
      <c r="C260" s="1" t="s">
        <v>47</v>
      </c>
      <c r="D260" s="1" t="s">
        <v>122</v>
      </c>
      <c r="E260" s="1" t="s">
        <v>28</v>
      </c>
      <c r="F260" s="1" t="s">
        <v>29</v>
      </c>
      <c r="G260" s="1" t="s">
        <v>30</v>
      </c>
      <c r="H260" s="1" t="s">
        <v>31</v>
      </c>
      <c r="I260" s="1">
        <v>5</v>
      </c>
      <c r="J260" s="1" t="s">
        <v>129</v>
      </c>
      <c r="K260" s="1" t="s">
        <v>33</v>
      </c>
      <c r="L260" s="1" t="s">
        <v>33</v>
      </c>
      <c r="M260" s="1" t="s">
        <v>34</v>
      </c>
      <c r="N260" s="5">
        <v>6.78</v>
      </c>
      <c r="O260" s="4">
        <v>4.08</v>
      </c>
      <c r="P260" s="5">
        <v>6.3</v>
      </c>
      <c r="Q260" s="6">
        <v>4.3</v>
      </c>
      <c r="R260" s="5">
        <v>5.71</v>
      </c>
      <c r="S260" s="5">
        <v>4.1100000000000003</v>
      </c>
      <c r="T260" s="5">
        <v>3.0897703549061002</v>
      </c>
      <c r="U260" s="7">
        <v>1.56749025217</v>
      </c>
      <c r="V260" s="7">
        <v>2.7712890210235721</v>
      </c>
      <c r="W260" s="6">
        <v>4.4157526207147777</v>
      </c>
      <c r="X260" s="6">
        <v>3.0506393861892591</v>
      </c>
      <c r="Y260" s="7">
        <v>1.977873977873978</v>
      </c>
    </row>
    <row r="261" spans="1:25" hidden="1" x14ac:dyDescent="0.3">
      <c r="A261" s="1">
        <v>159</v>
      </c>
      <c r="B261" s="1" t="s">
        <v>82</v>
      </c>
      <c r="C261" s="1" t="s">
        <v>47</v>
      </c>
      <c r="D261" s="1" t="s">
        <v>134</v>
      </c>
      <c r="E261" s="1" t="s">
        <v>44</v>
      </c>
      <c r="F261" s="1" t="s">
        <v>29</v>
      </c>
      <c r="G261" s="1" t="s">
        <v>30</v>
      </c>
      <c r="H261" s="1" t="s">
        <v>31</v>
      </c>
      <c r="I261" s="1">
        <v>80</v>
      </c>
      <c r="J261" s="1" t="s">
        <v>135</v>
      </c>
      <c r="K261" s="1" t="s">
        <v>33</v>
      </c>
      <c r="L261" s="1" t="s">
        <v>33</v>
      </c>
      <c r="M261" s="1" t="s">
        <v>34</v>
      </c>
      <c r="N261" s="5">
        <v>100</v>
      </c>
      <c r="O261" s="5">
        <v>100</v>
      </c>
      <c r="P261" s="5">
        <v>97.8</v>
      </c>
    </row>
    <row r="262" spans="1:25" hidden="1" x14ac:dyDescent="0.3">
      <c r="A262" s="1">
        <v>167</v>
      </c>
      <c r="B262" s="1" t="s">
        <v>136</v>
      </c>
      <c r="C262" s="1" t="s">
        <v>26</v>
      </c>
      <c r="D262" s="1" t="s">
        <v>39</v>
      </c>
      <c r="E262" s="1" t="s">
        <v>44</v>
      </c>
      <c r="F262" s="1" t="s">
        <v>29</v>
      </c>
      <c r="G262" s="1" t="s">
        <v>30</v>
      </c>
      <c r="H262" s="1" t="s">
        <v>31</v>
      </c>
      <c r="I262" s="1">
        <v>90</v>
      </c>
      <c r="J262" s="1" t="s">
        <v>137</v>
      </c>
      <c r="K262" s="1" t="s">
        <v>33</v>
      </c>
      <c r="L262" s="1" t="s">
        <v>33</v>
      </c>
      <c r="M262" s="1" t="s">
        <v>34</v>
      </c>
      <c r="N262" s="5">
        <v>94</v>
      </c>
      <c r="O262" s="5">
        <v>93.63</v>
      </c>
      <c r="P262" s="5">
        <v>96.8</v>
      </c>
      <c r="Q262" s="5">
        <v>96.86</v>
      </c>
      <c r="R262" s="5">
        <v>96.15</v>
      </c>
      <c r="S262" s="5">
        <v>97.7</v>
      </c>
      <c r="T262" s="5">
        <v>96.55</v>
      </c>
      <c r="U262" s="5">
        <v>97.64</v>
      </c>
      <c r="V262" s="3"/>
      <c r="W262" s="3" t="s">
        <v>59</v>
      </c>
      <c r="X262" s="3"/>
      <c r="Y262" s="3"/>
    </row>
    <row r="263" spans="1:25" hidden="1" x14ac:dyDescent="0.3">
      <c r="A263" s="1">
        <v>193</v>
      </c>
      <c r="B263" s="1" t="s">
        <v>140</v>
      </c>
      <c r="C263" s="1" t="s">
        <v>47</v>
      </c>
      <c r="D263" s="1" t="s">
        <v>141</v>
      </c>
      <c r="E263" s="1" t="s">
        <v>40</v>
      </c>
      <c r="F263" s="1" t="s">
        <v>29</v>
      </c>
      <c r="G263" s="1" t="s">
        <v>30</v>
      </c>
      <c r="H263" s="1" t="s">
        <v>31</v>
      </c>
      <c r="I263" s="1">
        <v>94</v>
      </c>
      <c r="J263" s="1" t="s">
        <v>142</v>
      </c>
      <c r="K263" s="1" t="s">
        <v>33</v>
      </c>
      <c r="L263" s="1" t="s">
        <v>33</v>
      </c>
      <c r="M263" s="1" t="s">
        <v>34</v>
      </c>
      <c r="N263" s="4">
        <v>95</v>
      </c>
      <c r="O263" s="5">
        <v>96.21</v>
      </c>
      <c r="P263" s="4">
        <v>93.5</v>
      </c>
      <c r="Q263" s="4">
        <v>91.700230762025598</v>
      </c>
      <c r="R263" s="6">
        <v>91.3</v>
      </c>
      <c r="S263" s="6">
        <v>91.899679829242004</v>
      </c>
      <c r="T263" s="3"/>
      <c r="U263" s="3"/>
      <c r="V263" s="3"/>
      <c r="W263" s="3"/>
      <c r="X263" s="3"/>
      <c r="Y263" s="3"/>
    </row>
    <row r="264" spans="1:25" hidden="1" x14ac:dyDescent="0.3">
      <c r="A264" s="1">
        <v>199</v>
      </c>
      <c r="B264" s="1" t="s">
        <v>145</v>
      </c>
      <c r="C264" s="1" t="s">
        <v>26</v>
      </c>
      <c r="D264" s="1" t="s">
        <v>39</v>
      </c>
      <c r="E264" s="1" t="s">
        <v>28</v>
      </c>
      <c r="F264" s="1" t="s">
        <v>29</v>
      </c>
      <c r="G264" s="1" t="s">
        <v>30</v>
      </c>
      <c r="H264" s="1" t="s">
        <v>31</v>
      </c>
      <c r="I264" s="1">
        <v>80</v>
      </c>
      <c r="J264" s="1" t="s">
        <v>146</v>
      </c>
      <c r="K264" s="1" t="s">
        <v>33</v>
      </c>
      <c r="L264" s="1" t="s">
        <v>33</v>
      </c>
      <c r="M264" s="1" t="s">
        <v>34</v>
      </c>
      <c r="N264" s="5">
        <v>92.89</v>
      </c>
      <c r="O264" s="5">
        <v>92.1</v>
      </c>
      <c r="P264" s="5">
        <v>92.81</v>
      </c>
      <c r="Q264" s="5">
        <v>92.19</v>
      </c>
      <c r="R264" s="5">
        <v>87.67</v>
      </c>
      <c r="S264" s="5">
        <v>87.666666666666998</v>
      </c>
      <c r="T264" s="3" t="s">
        <v>59</v>
      </c>
      <c r="U264" s="3" t="s">
        <v>59</v>
      </c>
      <c r="V264" s="3"/>
      <c r="W264" s="3"/>
      <c r="X264" s="3"/>
      <c r="Y264" s="3"/>
    </row>
    <row r="265" spans="1:25" hidden="1" x14ac:dyDescent="0.3">
      <c r="A265" s="1">
        <v>203</v>
      </c>
      <c r="B265" s="1" t="s">
        <v>151</v>
      </c>
      <c r="C265" s="1" t="s">
        <v>47</v>
      </c>
      <c r="D265" s="1" t="s">
        <v>152</v>
      </c>
      <c r="E265" s="1" t="s">
        <v>40</v>
      </c>
      <c r="F265" s="1" t="s">
        <v>29</v>
      </c>
      <c r="G265" s="1" t="s">
        <v>30</v>
      </c>
      <c r="H265" s="1" t="s">
        <v>153</v>
      </c>
      <c r="I265" s="1">
        <v>95</v>
      </c>
      <c r="J265" s="1" t="s">
        <v>154</v>
      </c>
      <c r="K265" s="1" t="s">
        <v>155</v>
      </c>
      <c r="L265" s="1" t="s">
        <v>34</v>
      </c>
      <c r="M265" s="1" t="s">
        <v>34</v>
      </c>
      <c r="N265" s="5">
        <v>111.33</v>
      </c>
      <c r="O265" s="5">
        <v>111.77</v>
      </c>
      <c r="P265" s="5">
        <v>102.84</v>
      </c>
      <c r="Q265" s="5">
        <v>102.01</v>
      </c>
      <c r="R265" s="5">
        <v>103.36740380481</v>
      </c>
      <c r="S265" s="5">
        <v>104.63235542785</v>
      </c>
      <c r="T265" s="3" t="s">
        <v>59</v>
      </c>
      <c r="U265" s="3" t="s">
        <v>59</v>
      </c>
      <c r="V265" s="3" t="s">
        <v>59</v>
      </c>
      <c r="W265" s="3" t="s">
        <v>59</v>
      </c>
      <c r="X265" s="3" t="s">
        <v>59</v>
      </c>
      <c r="Y265" s="3" t="s">
        <v>59</v>
      </c>
    </row>
    <row r="266" spans="1:25" hidden="1" x14ac:dyDescent="0.3">
      <c r="A266">
        <v>203</v>
      </c>
      <c r="B266" t="s">
        <v>151</v>
      </c>
      <c r="C266" t="s">
        <v>47</v>
      </c>
      <c r="D266" t="s">
        <v>152</v>
      </c>
      <c r="E266" t="s">
        <v>40</v>
      </c>
      <c r="F266" t="s">
        <v>29</v>
      </c>
      <c r="G266" t="s">
        <v>30</v>
      </c>
      <c r="H266" t="s">
        <v>153</v>
      </c>
      <c r="I266">
        <v>95</v>
      </c>
      <c r="J266" t="s">
        <v>154</v>
      </c>
      <c r="K266" t="s">
        <v>155</v>
      </c>
      <c r="L266" t="s">
        <v>156</v>
      </c>
      <c r="M266" t="s">
        <v>157</v>
      </c>
      <c r="N266" s="3">
        <v>111.28</v>
      </c>
      <c r="O266" s="3">
        <v>110.78</v>
      </c>
      <c r="P266" s="3">
        <v>102.94</v>
      </c>
      <c r="Q266" s="3">
        <v>101.88</v>
      </c>
      <c r="R266" s="3">
        <v>101.4</v>
      </c>
      <c r="S266" s="3">
        <v>104.6</v>
      </c>
      <c r="T266" s="3" t="s">
        <v>59</v>
      </c>
      <c r="U266" s="3" t="s">
        <v>59</v>
      </c>
      <c r="V266" s="3" t="s">
        <v>59</v>
      </c>
      <c r="W266" s="3" t="s">
        <v>59</v>
      </c>
      <c r="X266" s="3" t="s">
        <v>59</v>
      </c>
      <c r="Y266" s="3" t="s">
        <v>59</v>
      </c>
    </row>
    <row r="267" spans="1:25" hidden="1" x14ac:dyDescent="0.3">
      <c r="A267">
        <v>203</v>
      </c>
      <c r="B267" t="s">
        <v>151</v>
      </c>
      <c r="C267" t="s">
        <v>47</v>
      </c>
      <c r="D267" t="s">
        <v>152</v>
      </c>
      <c r="E267" t="s">
        <v>40</v>
      </c>
      <c r="F267" t="s">
        <v>29</v>
      </c>
      <c r="G267" t="s">
        <v>30</v>
      </c>
      <c r="H267" t="s">
        <v>153</v>
      </c>
      <c r="I267">
        <v>95</v>
      </c>
      <c r="J267" t="s">
        <v>154</v>
      </c>
      <c r="K267" t="s">
        <v>155</v>
      </c>
      <c r="L267" t="s">
        <v>158</v>
      </c>
      <c r="M267" t="s">
        <v>159</v>
      </c>
      <c r="N267" s="3">
        <v>107.83</v>
      </c>
      <c r="O267" s="3">
        <v>128.41</v>
      </c>
      <c r="P267" s="3">
        <v>85.4</v>
      </c>
      <c r="Q267" s="3">
        <v>103.24</v>
      </c>
      <c r="R267" s="3">
        <v>125.54</v>
      </c>
      <c r="S267" s="3">
        <v>102.65</v>
      </c>
      <c r="T267" s="3" t="s">
        <v>59</v>
      </c>
      <c r="U267" s="3" t="s">
        <v>59</v>
      </c>
      <c r="V267" s="3" t="s">
        <v>59</v>
      </c>
      <c r="W267" s="3" t="s">
        <v>59</v>
      </c>
      <c r="X267" s="3" t="s">
        <v>59</v>
      </c>
      <c r="Y267" s="3" t="s">
        <v>59</v>
      </c>
    </row>
    <row r="268" spans="1:25" hidden="1" x14ac:dyDescent="0.3">
      <c r="A268">
        <v>203</v>
      </c>
      <c r="B268" t="s">
        <v>151</v>
      </c>
      <c r="C268" t="s">
        <v>47</v>
      </c>
      <c r="D268" t="s">
        <v>152</v>
      </c>
      <c r="E268" t="s">
        <v>40</v>
      </c>
      <c r="F268" t="s">
        <v>29</v>
      </c>
      <c r="G268" t="s">
        <v>30</v>
      </c>
      <c r="H268" t="s">
        <v>153</v>
      </c>
      <c r="I268">
        <v>95</v>
      </c>
      <c r="J268" t="s">
        <v>154</v>
      </c>
      <c r="K268" t="s">
        <v>155</v>
      </c>
      <c r="L268" t="s">
        <v>160</v>
      </c>
      <c r="M268" t="s">
        <v>161</v>
      </c>
      <c r="N268" s="3">
        <v>117.08</v>
      </c>
      <c r="O268" s="3">
        <v>115.28</v>
      </c>
      <c r="P268" s="3">
        <v>123.1</v>
      </c>
      <c r="Q268" s="3" t="s">
        <v>59</v>
      </c>
      <c r="R268" s="3">
        <v>118.65</v>
      </c>
      <c r="S268" s="3">
        <v>107.46</v>
      </c>
      <c r="T268" s="3" t="s">
        <v>59</v>
      </c>
      <c r="U268" s="3" t="s">
        <v>59</v>
      </c>
      <c r="V268" s="3" t="s">
        <v>59</v>
      </c>
      <c r="W268" s="3" t="s">
        <v>59</v>
      </c>
      <c r="X268" s="3" t="s">
        <v>59</v>
      </c>
      <c r="Y268" s="3" t="s">
        <v>59</v>
      </c>
    </row>
    <row r="269" spans="1:25" hidden="1" x14ac:dyDescent="0.3">
      <c r="A269" s="1">
        <v>204</v>
      </c>
      <c r="B269" s="1" t="s">
        <v>162</v>
      </c>
      <c r="C269" s="1" t="s">
        <v>47</v>
      </c>
      <c r="D269" s="1" t="s">
        <v>152</v>
      </c>
      <c r="E269" s="1" t="s">
        <v>28</v>
      </c>
      <c r="F269" s="1" t="s">
        <v>29</v>
      </c>
      <c r="G269" s="1" t="s">
        <v>30</v>
      </c>
      <c r="H269" s="1" t="s">
        <v>31</v>
      </c>
      <c r="I269" s="1">
        <v>95</v>
      </c>
      <c r="J269" s="1" t="s">
        <v>163</v>
      </c>
      <c r="K269" s="1" t="s">
        <v>33</v>
      </c>
      <c r="L269" s="1" t="s">
        <v>33</v>
      </c>
      <c r="M269" s="1" t="s">
        <v>34</v>
      </c>
      <c r="N269" s="5">
        <v>152.24</v>
      </c>
      <c r="O269" s="6">
        <v>86.89</v>
      </c>
      <c r="P269" s="5">
        <v>144.53</v>
      </c>
      <c r="Q269" s="5">
        <v>133.55000000000001</v>
      </c>
      <c r="R269" s="5">
        <v>162.37</v>
      </c>
      <c r="S269" s="5">
        <v>194.75668793403</v>
      </c>
      <c r="T269" s="3"/>
      <c r="U269" s="3"/>
      <c r="V269" s="3"/>
      <c r="W269" s="3"/>
      <c r="X269" s="3"/>
      <c r="Y269" s="3"/>
    </row>
    <row r="270" spans="1:25" hidden="1" x14ac:dyDescent="0.3">
      <c r="A270" s="1">
        <v>205</v>
      </c>
      <c r="B270" s="1" t="s">
        <v>164</v>
      </c>
      <c r="C270" s="1" t="s">
        <v>47</v>
      </c>
      <c r="D270" s="1" t="s">
        <v>152</v>
      </c>
      <c r="E270" s="1" t="s">
        <v>40</v>
      </c>
      <c r="F270" s="1" t="s">
        <v>29</v>
      </c>
      <c r="G270" s="1" t="s">
        <v>30</v>
      </c>
      <c r="H270" s="1" t="s">
        <v>31</v>
      </c>
      <c r="I270" s="1">
        <v>95</v>
      </c>
      <c r="J270" s="1" t="s">
        <v>165</v>
      </c>
      <c r="K270" s="1" t="s">
        <v>33</v>
      </c>
      <c r="L270" s="1" t="s">
        <v>33</v>
      </c>
      <c r="M270" s="1" t="s">
        <v>34</v>
      </c>
      <c r="N270" s="5">
        <v>123.05</v>
      </c>
      <c r="O270" s="5">
        <v>186.31</v>
      </c>
      <c r="P270" s="5">
        <v>184.72</v>
      </c>
      <c r="Q270" s="5">
        <v>215.07</v>
      </c>
      <c r="R270" s="5">
        <v>426.51</v>
      </c>
      <c r="S270" s="5">
        <v>165.42728645151001</v>
      </c>
      <c r="T270" s="3"/>
      <c r="U270" s="3"/>
      <c r="V270" s="3"/>
      <c r="W270" s="3"/>
      <c r="X270" s="3"/>
      <c r="Y270" s="3"/>
    </row>
    <row r="271" spans="1:25" hidden="1" x14ac:dyDescent="0.3">
      <c r="A271" s="1">
        <v>207</v>
      </c>
      <c r="B271" s="1" t="s">
        <v>168</v>
      </c>
      <c r="C271" s="1" t="s">
        <v>47</v>
      </c>
      <c r="D271" s="1" t="s">
        <v>152</v>
      </c>
      <c r="E271" s="1" t="s">
        <v>40</v>
      </c>
      <c r="F271" s="1" t="s">
        <v>29</v>
      </c>
      <c r="G271" s="1" t="s">
        <v>41</v>
      </c>
      <c r="H271" s="1" t="s">
        <v>31</v>
      </c>
      <c r="I271" s="1">
        <v>100</v>
      </c>
      <c r="J271" s="1" t="s">
        <v>169</v>
      </c>
      <c r="K271" s="1" t="s">
        <v>33</v>
      </c>
      <c r="L271" s="1" t="s">
        <v>33</v>
      </c>
      <c r="M271" s="1" t="s">
        <v>34</v>
      </c>
      <c r="N271" s="4">
        <v>110.62</v>
      </c>
      <c r="O271" s="4">
        <v>110.9</v>
      </c>
      <c r="P271" s="4">
        <v>102.2</v>
      </c>
      <c r="Q271" s="4">
        <v>101.79</v>
      </c>
      <c r="R271" s="4">
        <v>103.6</v>
      </c>
      <c r="S271" s="4">
        <v>101.19882903781</v>
      </c>
      <c r="T271" s="3"/>
      <c r="U271" s="3"/>
      <c r="V271" s="3"/>
      <c r="W271" s="3"/>
      <c r="X271" s="3"/>
      <c r="Y271" s="3"/>
    </row>
    <row r="272" spans="1:25" hidden="1" x14ac:dyDescent="0.3">
      <c r="A272" s="1">
        <v>215</v>
      </c>
      <c r="B272" s="1" t="s">
        <v>205</v>
      </c>
      <c r="C272" s="1" t="s">
        <v>26</v>
      </c>
      <c r="D272" s="1" t="s">
        <v>93</v>
      </c>
      <c r="E272" s="1" t="s">
        <v>40</v>
      </c>
      <c r="F272" s="1" t="s">
        <v>29</v>
      </c>
      <c r="G272" s="1" t="s">
        <v>30</v>
      </c>
      <c r="H272" s="1" t="s">
        <v>153</v>
      </c>
      <c r="I272" s="1">
        <v>1</v>
      </c>
      <c r="J272" s="1" t="s">
        <v>206</v>
      </c>
      <c r="K272" s="1" t="s">
        <v>207</v>
      </c>
      <c r="L272" s="1" t="s">
        <v>34</v>
      </c>
      <c r="M272" s="1" t="s">
        <v>34</v>
      </c>
      <c r="N272" s="7">
        <v>-6.43</v>
      </c>
      <c r="O272" s="7">
        <v>-114.55</v>
      </c>
      <c r="P272" s="7">
        <v>-45.65</v>
      </c>
      <c r="Q272" s="4">
        <v>8</v>
      </c>
      <c r="R272" s="7">
        <v>-124.72</v>
      </c>
      <c r="S272" s="3" t="s">
        <v>59</v>
      </c>
      <c r="T272" s="7">
        <v>-23.628691983122</v>
      </c>
      <c r="U272" s="3" t="s">
        <v>59</v>
      </c>
      <c r="V272" s="3" t="s">
        <v>59</v>
      </c>
      <c r="W272" s="3" t="s">
        <v>59</v>
      </c>
      <c r="X272" s="3" t="s">
        <v>59</v>
      </c>
      <c r="Y272" s="3" t="s">
        <v>59</v>
      </c>
    </row>
    <row r="273" spans="1:25" hidden="1" x14ac:dyDescent="0.3">
      <c r="A273">
        <v>215</v>
      </c>
      <c r="B273" t="s">
        <v>205</v>
      </c>
      <c r="C273" t="s">
        <v>26</v>
      </c>
      <c r="D273" t="s">
        <v>93</v>
      </c>
      <c r="E273" t="s">
        <v>40</v>
      </c>
      <c r="F273" t="s">
        <v>29</v>
      </c>
      <c r="G273" t="s">
        <v>30</v>
      </c>
      <c r="H273" t="s">
        <v>153</v>
      </c>
      <c r="I273">
        <v>1</v>
      </c>
      <c r="J273" t="s">
        <v>206</v>
      </c>
      <c r="K273" t="s">
        <v>207</v>
      </c>
      <c r="L273" t="s">
        <v>172</v>
      </c>
      <c r="M273" t="s">
        <v>173</v>
      </c>
      <c r="N273" s="3">
        <v>39.42</v>
      </c>
      <c r="O273" s="3">
        <v>0</v>
      </c>
      <c r="P273" s="3" t="s">
        <v>59</v>
      </c>
      <c r="Q273" s="3">
        <v>11.57</v>
      </c>
      <c r="R273" s="3">
        <v>-236.11</v>
      </c>
      <c r="S273" s="3" t="s">
        <v>59</v>
      </c>
      <c r="T273" s="3">
        <v>-23.63</v>
      </c>
      <c r="U273" s="3" t="s">
        <v>59</v>
      </c>
      <c r="V273" s="3" t="s">
        <v>59</v>
      </c>
      <c r="W273" s="3" t="s">
        <v>59</v>
      </c>
      <c r="X273" s="3" t="s">
        <v>59</v>
      </c>
      <c r="Y273" s="3" t="s">
        <v>59</v>
      </c>
    </row>
    <row r="274" spans="1:25" hidden="1" x14ac:dyDescent="0.3">
      <c r="A274">
        <v>215</v>
      </c>
      <c r="B274" t="s">
        <v>205</v>
      </c>
      <c r="C274" t="s">
        <v>26</v>
      </c>
      <c r="D274" t="s">
        <v>93</v>
      </c>
      <c r="E274" t="s">
        <v>40</v>
      </c>
      <c r="F274" t="s">
        <v>29</v>
      </c>
      <c r="G274" t="s">
        <v>30</v>
      </c>
      <c r="H274" t="s">
        <v>153</v>
      </c>
      <c r="I274">
        <v>1</v>
      </c>
      <c r="J274" t="s">
        <v>206</v>
      </c>
      <c r="K274" t="s">
        <v>207</v>
      </c>
      <c r="L274" t="s">
        <v>174</v>
      </c>
      <c r="M274" t="s">
        <v>175</v>
      </c>
      <c r="N274" s="3">
        <v>-37.14</v>
      </c>
      <c r="O274" s="3">
        <v>22.22</v>
      </c>
      <c r="P274" s="3" t="s">
        <v>59</v>
      </c>
      <c r="Q274" s="3">
        <v>7.89</v>
      </c>
      <c r="R274" s="3">
        <v>-22.58</v>
      </c>
      <c r="S274" s="3" t="s">
        <v>59</v>
      </c>
      <c r="T274" s="3" t="s">
        <v>59</v>
      </c>
      <c r="U274" s="3" t="s">
        <v>59</v>
      </c>
      <c r="V274" s="3" t="s">
        <v>59</v>
      </c>
      <c r="W274" s="3" t="s">
        <v>59</v>
      </c>
      <c r="X274" s="3" t="s">
        <v>59</v>
      </c>
      <c r="Y274" s="3" t="s">
        <v>59</v>
      </c>
    </row>
    <row r="275" spans="1:25" hidden="1" x14ac:dyDescent="0.3">
      <c r="A275">
        <v>215</v>
      </c>
      <c r="B275" t="s">
        <v>205</v>
      </c>
      <c r="C275" t="s">
        <v>26</v>
      </c>
      <c r="D275" t="s">
        <v>93</v>
      </c>
      <c r="E275" t="s">
        <v>40</v>
      </c>
      <c r="F275" t="s">
        <v>29</v>
      </c>
      <c r="G275" t="s">
        <v>30</v>
      </c>
      <c r="H275" t="s">
        <v>153</v>
      </c>
      <c r="I275">
        <v>1</v>
      </c>
      <c r="J275" t="s">
        <v>206</v>
      </c>
      <c r="K275" t="s">
        <v>207</v>
      </c>
      <c r="L275" t="s">
        <v>176</v>
      </c>
      <c r="M275" t="s">
        <v>177</v>
      </c>
      <c r="N275" s="3">
        <v>-39.020000000000003</v>
      </c>
      <c r="O275" s="3">
        <v>0</v>
      </c>
      <c r="P275" s="3" t="s">
        <v>59</v>
      </c>
      <c r="Q275" s="3" t="s">
        <v>59</v>
      </c>
      <c r="R275" s="3" t="s">
        <v>59</v>
      </c>
      <c r="S275" s="3" t="s">
        <v>59</v>
      </c>
      <c r="T275" s="3" t="s">
        <v>59</v>
      </c>
      <c r="U275" s="3" t="s">
        <v>59</v>
      </c>
      <c r="V275" s="3" t="s">
        <v>59</v>
      </c>
      <c r="W275" s="3" t="s">
        <v>59</v>
      </c>
      <c r="X275" s="3" t="s">
        <v>59</v>
      </c>
      <c r="Y275" s="3" t="s">
        <v>59</v>
      </c>
    </row>
    <row r="276" spans="1:25" hidden="1" x14ac:dyDescent="0.3">
      <c r="A276">
        <v>215</v>
      </c>
      <c r="B276" t="s">
        <v>205</v>
      </c>
      <c r="C276" t="s">
        <v>26</v>
      </c>
      <c r="D276" t="s">
        <v>93</v>
      </c>
      <c r="E276" t="s">
        <v>40</v>
      </c>
      <c r="F276" t="s">
        <v>29</v>
      </c>
      <c r="G276" t="s">
        <v>30</v>
      </c>
      <c r="H276" t="s">
        <v>153</v>
      </c>
      <c r="I276">
        <v>1</v>
      </c>
      <c r="J276" t="s">
        <v>206</v>
      </c>
      <c r="K276" t="s">
        <v>207</v>
      </c>
      <c r="L276" t="s">
        <v>178</v>
      </c>
      <c r="M276" t="s">
        <v>179</v>
      </c>
      <c r="N276" s="3">
        <v>-20</v>
      </c>
      <c r="O276" s="3">
        <v>-16.670000000000002</v>
      </c>
      <c r="P276" s="3">
        <v>28.57</v>
      </c>
      <c r="Q276" s="3">
        <v>-2.44</v>
      </c>
      <c r="R276" s="3">
        <v>-86.36</v>
      </c>
      <c r="S276" s="3" t="s">
        <v>59</v>
      </c>
      <c r="T276" s="3" t="s">
        <v>59</v>
      </c>
      <c r="U276" s="3" t="s">
        <v>59</v>
      </c>
      <c r="V276" s="3" t="s">
        <v>59</v>
      </c>
      <c r="W276" s="3" t="s">
        <v>59</v>
      </c>
      <c r="X276" s="3" t="s">
        <v>59</v>
      </c>
      <c r="Y276" s="3" t="s">
        <v>59</v>
      </c>
    </row>
    <row r="277" spans="1:25" hidden="1" x14ac:dyDescent="0.3">
      <c r="A277">
        <v>215</v>
      </c>
      <c r="B277" t="s">
        <v>205</v>
      </c>
      <c r="C277" t="s">
        <v>26</v>
      </c>
      <c r="D277" t="s">
        <v>93</v>
      </c>
      <c r="E277" t="s">
        <v>40</v>
      </c>
      <c r="F277" t="s">
        <v>29</v>
      </c>
      <c r="G277" t="s">
        <v>30</v>
      </c>
      <c r="H277" t="s">
        <v>153</v>
      </c>
      <c r="I277">
        <v>1</v>
      </c>
      <c r="J277" t="s">
        <v>206</v>
      </c>
      <c r="K277" t="s">
        <v>207</v>
      </c>
      <c r="L277" t="s">
        <v>180</v>
      </c>
      <c r="M277" t="s">
        <v>181</v>
      </c>
      <c r="N277" s="3">
        <v>-733.33</v>
      </c>
      <c r="O277" s="3">
        <v>0</v>
      </c>
      <c r="P277" s="3" t="s">
        <v>59</v>
      </c>
      <c r="Q277" s="3" t="s">
        <v>59</v>
      </c>
      <c r="R277" s="3" t="s">
        <v>59</v>
      </c>
      <c r="S277" s="3" t="s">
        <v>59</v>
      </c>
      <c r="T277" s="3" t="s">
        <v>59</v>
      </c>
      <c r="U277" s="3" t="s">
        <v>59</v>
      </c>
      <c r="V277" s="3" t="s">
        <v>59</v>
      </c>
      <c r="W277" s="3" t="s">
        <v>59</v>
      </c>
      <c r="X277" s="3" t="s">
        <v>59</v>
      </c>
      <c r="Y277" s="3" t="s">
        <v>59</v>
      </c>
    </row>
    <row r="278" spans="1:25" hidden="1" x14ac:dyDescent="0.3">
      <c r="A278">
        <v>215</v>
      </c>
      <c r="B278" t="s">
        <v>205</v>
      </c>
      <c r="C278" t="s">
        <v>26</v>
      </c>
      <c r="D278" t="s">
        <v>93</v>
      </c>
      <c r="E278" t="s">
        <v>40</v>
      </c>
      <c r="F278" t="s">
        <v>29</v>
      </c>
      <c r="G278" t="s">
        <v>30</v>
      </c>
      <c r="H278" t="s">
        <v>153</v>
      </c>
      <c r="I278">
        <v>1</v>
      </c>
      <c r="J278" t="s">
        <v>206</v>
      </c>
      <c r="K278" t="s">
        <v>207</v>
      </c>
      <c r="L278" t="s">
        <v>182</v>
      </c>
      <c r="M278" t="s">
        <v>183</v>
      </c>
      <c r="N278" s="3">
        <v>-1.27</v>
      </c>
      <c r="O278" s="3">
        <v>-255.06</v>
      </c>
      <c r="P278" s="3" t="s">
        <v>59</v>
      </c>
      <c r="Q278" s="3" t="s">
        <v>59</v>
      </c>
      <c r="R278" s="3" t="s">
        <v>59</v>
      </c>
      <c r="S278" s="3" t="s">
        <v>59</v>
      </c>
      <c r="T278" s="3" t="s">
        <v>59</v>
      </c>
      <c r="U278" s="3" t="s">
        <v>59</v>
      </c>
      <c r="V278" s="3" t="s">
        <v>59</v>
      </c>
      <c r="W278" s="3" t="s">
        <v>59</v>
      </c>
      <c r="X278" s="3" t="s">
        <v>59</v>
      </c>
      <c r="Y278" s="3" t="s">
        <v>59</v>
      </c>
    </row>
    <row r="279" spans="1:25" hidden="1" x14ac:dyDescent="0.3">
      <c r="A279" s="1">
        <v>219</v>
      </c>
      <c r="B279" s="1" t="s">
        <v>214</v>
      </c>
      <c r="C279" s="1" t="s">
        <v>26</v>
      </c>
      <c r="D279" s="1" t="s">
        <v>93</v>
      </c>
      <c r="E279" s="1" t="s">
        <v>40</v>
      </c>
      <c r="F279" s="1" t="s">
        <v>29</v>
      </c>
      <c r="G279" s="1" t="s">
        <v>30</v>
      </c>
      <c r="H279" s="1" t="s">
        <v>153</v>
      </c>
      <c r="I279" s="1">
        <v>1</v>
      </c>
      <c r="J279" s="1" t="s">
        <v>215</v>
      </c>
      <c r="K279" s="1" t="s">
        <v>155</v>
      </c>
      <c r="L279" s="1" t="s">
        <v>34</v>
      </c>
      <c r="M279" s="1" t="s">
        <v>34</v>
      </c>
      <c r="N279" s="7">
        <v>-18.28</v>
      </c>
      <c r="O279" s="4">
        <v>18.43</v>
      </c>
      <c r="P279" s="7">
        <v>-12.53</v>
      </c>
      <c r="Q279" s="4">
        <v>11.94</v>
      </c>
      <c r="R279" s="7">
        <v>-5.89</v>
      </c>
      <c r="S279" s="4">
        <v>21.147036826274292</v>
      </c>
      <c r="T279" s="7">
        <v>-68.789622683372002</v>
      </c>
      <c r="U279" s="4">
        <v>16.685183396325002</v>
      </c>
      <c r="V279" s="3"/>
      <c r="W279" s="3" t="s">
        <v>59</v>
      </c>
      <c r="X279" s="3" t="s">
        <v>59</v>
      </c>
      <c r="Y279" s="3" t="s">
        <v>59</v>
      </c>
    </row>
    <row r="280" spans="1:25" hidden="1" x14ac:dyDescent="0.3">
      <c r="A280">
        <v>219</v>
      </c>
      <c r="B280" t="s">
        <v>214</v>
      </c>
      <c r="C280" t="s">
        <v>26</v>
      </c>
      <c r="D280" t="s">
        <v>93</v>
      </c>
      <c r="E280" t="s">
        <v>40</v>
      </c>
      <c r="F280" t="s">
        <v>29</v>
      </c>
      <c r="G280" t="s">
        <v>30</v>
      </c>
      <c r="H280" t="s">
        <v>153</v>
      </c>
      <c r="I280">
        <v>1</v>
      </c>
      <c r="J280" t="s">
        <v>215</v>
      </c>
      <c r="K280" t="s">
        <v>155</v>
      </c>
      <c r="L280" t="s">
        <v>172</v>
      </c>
      <c r="M280" t="s">
        <v>173</v>
      </c>
      <c r="N280" s="3">
        <v>-1.92</v>
      </c>
      <c r="O280" s="3">
        <v>2.57</v>
      </c>
      <c r="P280" s="3">
        <v>-2.37</v>
      </c>
      <c r="Q280" s="3">
        <v>5.27</v>
      </c>
      <c r="R280" s="3">
        <v>-4.26</v>
      </c>
      <c r="S280" s="3">
        <v>26.88</v>
      </c>
      <c r="T280" s="3">
        <v>-66.709999999999994</v>
      </c>
      <c r="U280" s="3">
        <v>-0.49</v>
      </c>
      <c r="V280" s="3" t="s">
        <v>59</v>
      </c>
      <c r="W280" s="3" t="s">
        <v>59</v>
      </c>
      <c r="X280" s="3" t="s">
        <v>59</v>
      </c>
      <c r="Y280" s="3" t="s">
        <v>59</v>
      </c>
    </row>
    <row r="281" spans="1:25" hidden="1" x14ac:dyDescent="0.3">
      <c r="A281">
        <v>219</v>
      </c>
      <c r="B281" t="s">
        <v>214</v>
      </c>
      <c r="C281" t="s">
        <v>26</v>
      </c>
      <c r="D281" t="s">
        <v>93</v>
      </c>
      <c r="E281" t="s">
        <v>40</v>
      </c>
      <c r="F281" t="s">
        <v>29</v>
      </c>
      <c r="G281" t="s">
        <v>30</v>
      </c>
      <c r="H281" t="s">
        <v>153</v>
      </c>
      <c r="I281">
        <v>1</v>
      </c>
      <c r="J281" t="s">
        <v>215</v>
      </c>
      <c r="K281" t="s">
        <v>155</v>
      </c>
      <c r="L281" t="s">
        <v>174</v>
      </c>
      <c r="M281" t="s">
        <v>175</v>
      </c>
      <c r="N281" s="3">
        <v>-21.93</v>
      </c>
      <c r="O281" s="3">
        <v>20.48</v>
      </c>
      <c r="P281" s="3">
        <v>-19.63</v>
      </c>
      <c r="Q281" s="3" t="s">
        <v>59</v>
      </c>
      <c r="R281" s="3">
        <v>-18.98</v>
      </c>
      <c r="S281" s="3">
        <v>13.11</v>
      </c>
      <c r="T281" s="3">
        <v>-185.93</v>
      </c>
      <c r="U281" s="3">
        <v>57.26</v>
      </c>
      <c r="V281" s="3" t="s">
        <v>59</v>
      </c>
      <c r="W281" s="3" t="s">
        <v>59</v>
      </c>
      <c r="X281" s="3" t="s">
        <v>59</v>
      </c>
      <c r="Y281" s="3" t="s">
        <v>59</v>
      </c>
    </row>
    <row r="282" spans="1:25" hidden="1" x14ac:dyDescent="0.3">
      <c r="A282">
        <v>219</v>
      </c>
      <c r="B282" t="s">
        <v>214</v>
      </c>
      <c r="C282" t="s">
        <v>26</v>
      </c>
      <c r="D282" t="s">
        <v>93</v>
      </c>
      <c r="E282" t="s">
        <v>40</v>
      </c>
      <c r="F282" t="s">
        <v>29</v>
      </c>
      <c r="G282" t="s">
        <v>30</v>
      </c>
      <c r="H282" t="s">
        <v>153</v>
      </c>
      <c r="I282">
        <v>1</v>
      </c>
      <c r="J282" t="s">
        <v>215</v>
      </c>
      <c r="K282" t="s">
        <v>155</v>
      </c>
      <c r="L282" t="s">
        <v>176</v>
      </c>
      <c r="M282" t="s">
        <v>177</v>
      </c>
      <c r="N282" s="3">
        <v>-34.97</v>
      </c>
      <c r="O282" s="3">
        <v>7.04</v>
      </c>
      <c r="P282" s="3">
        <v>7.92</v>
      </c>
      <c r="Q282" s="3" t="s">
        <v>59</v>
      </c>
      <c r="R282" s="3" t="s">
        <v>59</v>
      </c>
      <c r="S282" s="3" t="s">
        <v>59</v>
      </c>
      <c r="T282" s="3" t="s">
        <v>59</v>
      </c>
      <c r="U282" s="3" t="s">
        <v>59</v>
      </c>
      <c r="V282" s="3" t="s">
        <v>59</v>
      </c>
      <c r="W282" s="3" t="s">
        <v>59</v>
      </c>
      <c r="X282" s="3" t="s">
        <v>59</v>
      </c>
      <c r="Y282" s="3" t="s">
        <v>59</v>
      </c>
    </row>
    <row r="283" spans="1:25" hidden="1" x14ac:dyDescent="0.3">
      <c r="A283">
        <v>219</v>
      </c>
      <c r="B283" t="s">
        <v>214</v>
      </c>
      <c r="C283" t="s">
        <v>26</v>
      </c>
      <c r="D283" t="s">
        <v>93</v>
      </c>
      <c r="E283" t="s">
        <v>40</v>
      </c>
      <c r="F283" t="s">
        <v>29</v>
      </c>
      <c r="G283" t="s">
        <v>30</v>
      </c>
      <c r="H283" t="s">
        <v>153</v>
      </c>
      <c r="I283">
        <v>1</v>
      </c>
      <c r="J283" t="s">
        <v>215</v>
      </c>
      <c r="K283" t="s">
        <v>155</v>
      </c>
      <c r="L283" t="s">
        <v>178</v>
      </c>
      <c r="M283" t="s">
        <v>179</v>
      </c>
      <c r="N283" s="3">
        <v>-18.63</v>
      </c>
      <c r="O283" s="3">
        <v>38.19</v>
      </c>
      <c r="P283" s="3">
        <v>-30.9</v>
      </c>
      <c r="Q283" s="3">
        <v>-20.260000000000002</v>
      </c>
      <c r="R283" s="3">
        <v>27.43</v>
      </c>
      <c r="S283" s="3">
        <v>18.93</v>
      </c>
      <c r="T283" s="3">
        <v>-27.47</v>
      </c>
      <c r="U283" s="3" t="s">
        <v>59</v>
      </c>
      <c r="V283" s="3" t="s">
        <v>59</v>
      </c>
      <c r="W283" s="3" t="s">
        <v>59</v>
      </c>
      <c r="X283" s="3" t="s">
        <v>59</v>
      </c>
      <c r="Y283" s="3" t="s">
        <v>59</v>
      </c>
    </row>
    <row r="284" spans="1:25" hidden="1" x14ac:dyDescent="0.3">
      <c r="A284">
        <v>219</v>
      </c>
      <c r="B284" t="s">
        <v>214</v>
      </c>
      <c r="C284" t="s">
        <v>26</v>
      </c>
      <c r="D284" t="s">
        <v>93</v>
      </c>
      <c r="E284" t="s">
        <v>40</v>
      </c>
      <c r="F284" t="s">
        <v>29</v>
      </c>
      <c r="G284" t="s">
        <v>30</v>
      </c>
      <c r="H284" t="s">
        <v>153</v>
      </c>
      <c r="I284">
        <v>1</v>
      </c>
      <c r="J284" t="s">
        <v>215</v>
      </c>
      <c r="K284" t="s">
        <v>155</v>
      </c>
      <c r="L284" t="s">
        <v>180</v>
      </c>
      <c r="M284" t="s">
        <v>181</v>
      </c>
      <c r="N284" s="3">
        <v>-4403.8500000000004</v>
      </c>
      <c r="O284" s="3">
        <v>96.45</v>
      </c>
      <c r="P284" s="3">
        <v>7.67</v>
      </c>
      <c r="Q284" s="3">
        <v>-10.85</v>
      </c>
      <c r="R284" s="3" t="s">
        <v>59</v>
      </c>
      <c r="S284" s="3" t="s">
        <v>59</v>
      </c>
      <c r="T284" s="3" t="s">
        <v>59</v>
      </c>
      <c r="U284" s="3" t="s">
        <v>59</v>
      </c>
      <c r="V284" s="3" t="s">
        <v>59</v>
      </c>
      <c r="W284" s="3" t="s">
        <v>59</v>
      </c>
      <c r="X284" s="3" t="s">
        <v>59</v>
      </c>
      <c r="Y284" s="3" t="s">
        <v>59</v>
      </c>
    </row>
    <row r="285" spans="1:25" hidden="1" x14ac:dyDescent="0.3">
      <c r="A285">
        <v>219</v>
      </c>
      <c r="B285" t="s">
        <v>214</v>
      </c>
      <c r="C285" t="s">
        <v>26</v>
      </c>
      <c r="D285" t="s">
        <v>93</v>
      </c>
      <c r="E285" t="s">
        <v>40</v>
      </c>
      <c r="F285" t="s">
        <v>29</v>
      </c>
      <c r="G285" t="s">
        <v>30</v>
      </c>
      <c r="H285" t="s">
        <v>153</v>
      </c>
      <c r="I285">
        <v>1</v>
      </c>
      <c r="J285" t="s">
        <v>215</v>
      </c>
      <c r="K285" t="s">
        <v>155</v>
      </c>
      <c r="L285" t="s">
        <v>182</v>
      </c>
      <c r="M285" t="s">
        <v>183</v>
      </c>
      <c r="N285" s="3">
        <v>-48.5</v>
      </c>
      <c r="O285" s="3">
        <v>-54.95</v>
      </c>
      <c r="P285" s="3">
        <v>-19.239999999999998</v>
      </c>
      <c r="Q285" s="3" t="s">
        <v>59</v>
      </c>
      <c r="R285" s="3" t="s">
        <v>59</v>
      </c>
      <c r="S285" s="3" t="s">
        <v>59</v>
      </c>
      <c r="T285" s="3" t="s">
        <v>59</v>
      </c>
      <c r="U285" s="3" t="s">
        <v>59</v>
      </c>
      <c r="V285" s="3" t="s">
        <v>59</v>
      </c>
      <c r="W285" s="3" t="s">
        <v>59</v>
      </c>
      <c r="X285" s="3" t="s">
        <v>59</v>
      </c>
      <c r="Y285" s="3" t="s">
        <v>59</v>
      </c>
    </row>
    <row r="286" spans="1:25" hidden="1" x14ac:dyDescent="0.3">
      <c r="A286">
        <v>219</v>
      </c>
      <c r="B286" t="s">
        <v>214</v>
      </c>
      <c r="C286" t="s">
        <v>26</v>
      </c>
      <c r="D286" t="s">
        <v>93</v>
      </c>
      <c r="E286" t="s">
        <v>40</v>
      </c>
      <c r="F286" t="s">
        <v>29</v>
      </c>
      <c r="G286" t="s">
        <v>30</v>
      </c>
      <c r="H286" t="s">
        <v>153</v>
      </c>
      <c r="I286">
        <v>1</v>
      </c>
      <c r="J286" t="s">
        <v>215</v>
      </c>
      <c r="K286" t="s">
        <v>155</v>
      </c>
      <c r="M286" t="s">
        <v>216</v>
      </c>
      <c r="N286" s="3"/>
      <c r="O286" s="3"/>
      <c r="P286" s="3"/>
      <c r="Q286" s="3"/>
      <c r="R286" s="3"/>
      <c r="S286" s="3"/>
      <c r="T286" s="3"/>
      <c r="U286" s="3"/>
      <c r="V286" s="3" t="s">
        <v>59</v>
      </c>
      <c r="W286" s="3" t="s">
        <v>59</v>
      </c>
      <c r="X286" s="3" t="s">
        <v>59</v>
      </c>
      <c r="Y286" s="3" t="s">
        <v>59</v>
      </c>
    </row>
    <row r="287" spans="1:25" hidden="1" x14ac:dyDescent="0.3">
      <c r="A287" s="1">
        <v>220</v>
      </c>
      <c r="B287" s="1" t="s">
        <v>217</v>
      </c>
      <c r="C287" s="1" t="s">
        <v>26</v>
      </c>
      <c r="D287" s="1" t="s">
        <v>93</v>
      </c>
      <c r="E287" s="1" t="s">
        <v>40</v>
      </c>
      <c r="F287" s="1" t="s">
        <v>29</v>
      </c>
      <c r="G287" s="1" t="s">
        <v>30</v>
      </c>
      <c r="H287" s="1" t="s">
        <v>153</v>
      </c>
      <c r="I287" s="1">
        <v>1</v>
      </c>
      <c r="J287" s="1" t="s">
        <v>218</v>
      </c>
      <c r="K287" s="1" t="s">
        <v>207</v>
      </c>
      <c r="L287" s="1" t="s">
        <v>34</v>
      </c>
      <c r="M287" s="1" t="s">
        <v>34</v>
      </c>
      <c r="N287" s="7">
        <v>-10.18</v>
      </c>
      <c r="O287" s="4">
        <v>33.979999999999997</v>
      </c>
      <c r="P287" s="4">
        <v>13.05</v>
      </c>
      <c r="Q287" s="4">
        <v>3.58</v>
      </c>
      <c r="R287" s="7">
        <v>-38.58</v>
      </c>
      <c r="S287" s="4">
        <v>40.678407793435213</v>
      </c>
      <c r="T287" s="7">
        <v>-85.889409840455002</v>
      </c>
      <c r="U287" s="7">
        <v>-88.603565901063007</v>
      </c>
      <c r="V287" s="3"/>
      <c r="W287" s="3" t="s">
        <v>59</v>
      </c>
      <c r="X287" s="3" t="s">
        <v>59</v>
      </c>
      <c r="Y287" s="3" t="s">
        <v>59</v>
      </c>
    </row>
    <row r="288" spans="1:25" hidden="1" x14ac:dyDescent="0.3">
      <c r="A288">
        <v>220</v>
      </c>
      <c r="B288" t="s">
        <v>217</v>
      </c>
      <c r="C288" t="s">
        <v>26</v>
      </c>
      <c r="D288" t="s">
        <v>93</v>
      </c>
      <c r="E288" t="s">
        <v>40</v>
      </c>
      <c r="F288" t="s">
        <v>29</v>
      </c>
      <c r="G288" t="s">
        <v>30</v>
      </c>
      <c r="H288" t="s">
        <v>153</v>
      </c>
      <c r="I288">
        <v>1</v>
      </c>
      <c r="J288" t="s">
        <v>218</v>
      </c>
      <c r="K288" t="s">
        <v>207</v>
      </c>
      <c r="L288" t="s">
        <v>172</v>
      </c>
      <c r="M288" t="s">
        <v>173</v>
      </c>
      <c r="N288" s="3">
        <v>-3.87</v>
      </c>
      <c r="O288" s="3">
        <v>26.83</v>
      </c>
      <c r="P288" s="3">
        <v>16.13</v>
      </c>
      <c r="Q288" s="3">
        <v>-7.03</v>
      </c>
      <c r="R288" s="3" t="s">
        <v>59</v>
      </c>
      <c r="S288" s="3">
        <v>51.59</v>
      </c>
      <c r="T288" s="3">
        <v>-136.6</v>
      </c>
      <c r="U288" s="3">
        <v>-125.24</v>
      </c>
      <c r="V288" s="3" t="s">
        <v>59</v>
      </c>
      <c r="W288" s="3" t="s">
        <v>59</v>
      </c>
      <c r="X288" s="3" t="s">
        <v>59</v>
      </c>
      <c r="Y288" s="3" t="s">
        <v>59</v>
      </c>
    </row>
    <row r="289" spans="1:25" hidden="1" x14ac:dyDescent="0.3">
      <c r="A289">
        <v>220</v>
      </c>
      <c r="B289" t="s">
        <v>217</v>
      </c>
      <c r="C289" t="s">
        <v>26</v>
      </c>
      <c r="D289" t="s">
        <v>93</v>
      </c>
      <c r="E289" t="s">
        <v>40</v>
      </c>
      <c r="F289" t="s">
        <v>29</v>
      </c>
      <c r="G289" t="s">
        <v>30</v>
      </c>
      <c r="H289" t="s">
        <v>153</v>
      </c>
      <c r="I289">
        <v>1</v>
      </c>
      <c r="J289" t="s">
        <v>218</v>
      </c>
      <c r="K289" t="s">
        <v>207</v>
      </c>
      <c r="L289" t="s">
        <v>174</v>
      </c>
      <c r="M289" t="s">
        <v>175</v>
      </c>
      <c r="N289" s="3">
        <v>-13.84</v>
      </c>
      <c r="O289" s="3">
        <v>-0.72</v>
      </c>
      <c r="P289" s="3">
        <v>-23.04</v>
      </c>
      <c r="Q289" s="3" t="s">
        <v>59</v>
      </c>
      <c r="R289" s="3" t="s">
        <v>59</v>
      </c>
      <c r="S289" s="3">
        <v>20.149999999999999</v>
      </c>
      <c r="T289" s="3">
        <v>-78.52</v>
      </c>
      <c r="U289" s="3">
        <v>-3.03</v>
      </c>
      <c r="V289" s="3" t="s">
        <v>59</v>
      </c>
      <c r="W289" s="3" t="s">
        <v>59</v>
      </c>
      <c r="X289" s="3" t="s">
        <v>59</v>
      </c>
      <c r="Y289" s="3" t="s">
        <v>59</v>
      </c>
    </row>
    <row r="290" spans="1:25" hidden="1" x14ac:dyDescent="0.3">
      <c r="A290">
        <v>220</v>
      </c>
      <c r="B290" t="s">
        <v>217</v>
      </c>
      <c r="C290" t="s">
        <v>26</v>
      </c>
      <c r="D290" t="s">
        <v>93</v>
      </c>
      <c r="E290" t="s">
        <v>40</v>
      </c>
      <c r="F290" t="s">
        <v>29</v>
      </c>
      <c r="G290" t="s">
        <v>30</v>
      </c>
      <c r="H290" t="s">
        <v>153</v>
      </c>
      <c r="I290">
        <v>1</v>
      </c>
      <c r="J290" t="s">
        <v>218</v>
      </c>
      <c r="K290" t="s">
        <v>207</v>
      </c>
      <c r="L290" t="s">
        <v>176</v>
      </c>
      <c r="M290" t="s">
        <v>177</v>
      </c>
      <c r="N290" s="3">
        <v>44.3</v>
      </c>
      <c r="O290" s="3">
        <v>-37.380000000000003</v>
      </c>
      <c r="P290" s="3">
        <v>14.57</v>
      </c>
      <c r="Q290" s="3" t="s">
        <v>59</v>
      </c>
      <c r="R290" s="3" t="s">
        <v>59</v>
      </c>
      <c r="S290" s="3" t="s">
        <v>59</v>
      </c>
      <c r="T290" s="3" t="s">
        <v>59</v>
      </c>
      <c r="U290" s="3" t="s">
        <v>59</v>
      </c>
      <c r="V290" s="3" t="s">
        <v>59</v>
      </c>
      <c r="W290" s="3" t="s">
        <v>59</v>
      </c>
      <c r="X290" s="3" t="s">
        <v>59</v>
      </c>
      <c r="Y290" s="3" t="s">
        <v>59</v>
      </c>
    </row>
    <row r="291" spans="1:25" hidden="1" x14ac:dyDescent="0.3">
      <c r="A291">
        <v>220</v>
      </c>
      <c r="B291" t="s">
        <v>217</v>
      </c>
      <c r="C291" t="s">
        <v>26</v>
      </c>
      <c r="D291" t="s">
        <v>93</v>
      </c>
      <c r="E291" t="s">
        <v>40</v>
      </c>
      <c r="F291" t="s">
        <v>29</v>
      </c>
      <c r="G291" t="s">
        <v>30</v>
      </c>
      <c r="H291" t="s">
        <v>153</v>
      </c>
      <c r="I291">
        <v>1</v>
      </c>
      <c r="J291" t="s">
        <v>218</v>
      </c>
      <c r="K291" t="s">
        <v>207</v>
      </c>
      <c r="L291" t="s">
        <v>178</v>
      </c>
      <c r="M291" t="s">
        <v>179</v>
      </c>
      <c r="N291" s="3">
        <v>-8.23</v>
      </c>
      <c r="O291" s="3">
        <v>64.709999999999994</v>
      </c>
      <c r="P291" s="3">
        <v>39.74</v>
      </c>
      <c r="Q291" s="3" t="s">
        <v>59</v>
      </c>
      <c r="R291" s="3" t="s">
        <v>59</v>
      </c>
      <c r="S291" s="3">
        <v>26.03</v>
      </c>
      <c r="T291" s="3">
        <v>-35.6</v>
      </c>
      <c r="U291" s="3" t="s">
        <v>59</v>
      </c>
      <c r="V291" s="3" t="s">
        <v>59</v>
      </c>
      <c r="W291" s="3" t="s">
        <v>59</v>
      </c>
      <c r="X291" s="3" t="s">
        <v>59</v>
      </c>
      <c r="Y291" s="3" t="s">
        <v>59</v>
      </c>
    </row>
    <row r="292" spans="1:25" hidden="1" x14ac:dyDescent="0.3">
      <c r="A292">
        <v>220</v>
      </c>
      <c r="B292" t="s">
        <v>217</v>
      </c>
      <c r="C292" t="s">
        <v>26</v>
      </c>
      <c r="D292" t="s">
        <v>93</v>
      </c>
      <c r="E292" t="s">
        <v>40</v>
      </c>
      <c r="F292" t="s">
        <v>29</v>
      </c>
      <c r="G292" t="s">
        <v>30</v>
      </c>
      <c r="H292" t="s">
        <v>153</v>
      </c>
      <c r="I292">
        <v>1</v>
      </c>
      <c r="J292" t="s">
        <v>218</v>
      </c>
      <c r="K292" t="s">
        <v>207</v>
      </c>
      <c r="L292" t="s">
        <v>180</v>
      </c>
      <c r="M292" t="s">
        <v>181</v>
      </c>
      <c r="N292" s="3">
        <v>0</v>
      </c>
      <c r="O292" s="3"/>
      <c r="P292" s="3"/>
      <c r="Q292" s="3" t="s">
        <v>59</v>
      </c>
      <c r="R292" s="3" t="s">
        <v>59</v>
      </c>
      <c r="S292" s="3" t="s">
        <v>59</v>
      </c>
      <c r="T292" s="3" t="s">
        <v>59</v>
      </c>
      <c r="U292" s="3" t="s">
        <v>59</v>
      </c>
      <c r="V292" s="3" t="s">
        <v>59</v>
      </c>
      <c r="W292" s="3" t="s">
        <v>59</v>
      </c>
      <c r="X292" s="3" t="s">
        <v>59</v>
      </c>
      <c r="Y292" s="3" t="s">
        <v>59</v>
      </c>
    </row>
    <row r="293" spans="1:25" hidden="1" x14ac:dyDescent="0.3">
      <c r="A293">
        <v>220</v>
      </c>
      <c r="B293" t="s">
        <v>217</v>
      </c>
      <c r="C293" t="s">
        <v>26</v>
      </c>
      <c r="D293" t="s">
        <v>93</v>
      </c>
      <c r="E293" t="s">
        <v>40</v>
      </c>
      <c r="F293" t="s">
        <v>29</v>
      </c>
      <c r="G293" t="s">
        <v>30</v>
      </c>
      <c r="H293" t="s">
        <v>153</v>
      </c>
      <c r="I293">
        <v>1</v>
      </c>
      <c r="J293" t="s">
        <v>218</v>
      </c>
      <c r="K293" t="s">
        <v>207</v>
      </c>
      <c r="L293" t="s">
        <v>182</v>
      </c>
      <c r="M293" t="s">
        <v>183</v>
      </c>
      <c r="N293" s="3">
        <v>-14037.9</v>
      </c>
      <c r="O293" s="3">
        <v>98.76</v>
      </c>
      <c r="P293" s="3">
        <v>15.06</v>
      </c>
      <c r="Q293" s="3" t="s">
        <v>59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 t="s">
        <v>59</v>
      </c>
      <c r="Y293" s="3" t="s">
        <v>59</v>
      </c>
    </row>
    <row r="294" spans="1:25" hidden="1" x14ac:dyDescent="0.3">
      <c r="A294" s="1">
        <v>230</v>
      </c>
      <c r="B294" s="1" t="s">
        <v>240</v>
      </c>
      <c r="C294" s="1" t="s">
        <v>26</v>
      </c>
      <c r="D294" s="1" t="s">
        <v>93</v>
      </c>
      <c r="E294" s="1" t="s">
        <v>28</v>
      </c>
      <c r="F294" s="1" t="s">
        <v>29</v>
      </c>
      <c r="G294" s="1" t="s">
        <v>30</v>
      </c>
      <c r="H294" s="1" t="s">
        <v>31</v>
      </c>
      <c r="I294" s="1">
        <v>90</v>
      </c>
      <c r="J294" s="1" t="s">
        <v>241</v>
      </c>
      <c r="K294" s="1" t="s">
        <v>33</v>
      </c>
      <c r="L294" s="1" t="s">
        <v>33</v>
      </c>
      <c r="M294" s="1" t="s">
        <v>34</v>
      </c>
      <c r="N294" s="3"/>
      <c r="O294" s="4">
        <v>100</v>
      </c>
      <c r="P294" s="4">
        <v>100</v>
      </c>
      <c r="Q294" s="4">
        <v>100</v>
      </c>
      <c r="R294" s="4">
        <v>100</v>
      </c>
      <c r="S294" s="4">
        <v>100</v>
      </c>
      <c r="T294" s="3"/>
      <c r="U294" s="3"/>
      <c r="V294" s="3"/>
      <c r="W294" s="3"/>
      <c r="X294" s="3"/>
      <c r="Y294" s="3"/>
    </row>
    <row r="295" spans="1:25" hidden="1" x14ac:dyDescent="0.3">
      <c r="A295" s="1">
        <v>231</v>
      </c>
      <c r="B295" s="1" t="s">
        <v>242</v>
      </c>
      <c r="C295" s="1" t="s">
        <v>26</v>
      </c>
      <c r="D295" s="1" t="s">
        <v>93</v>
      </c>
      <c r="E295" s="1" t="s">
        <v>28</v>
      </c>
      <c r="F295" s="1" t="s">
        <v>29</v>
      </c>
      <c r="G295" s="1" t="s">
        <v>30</v>
      </c>
      <c r="H295" s="1" t="s">
        <v>31</v>
      </c>
      <c r="I295" s="1">
        <v>35</v>
      </c>
      <c r="J295" s="1" t="s">
        <v>243</v>
      </c>
      <c r="K295" s="1" t="s">
        <v>33</v>
      </c>
      <c r="L295" s="1" t="s">
        <v>33</v>
      </c>
      <c r="M295" s="1" t="s">
        <v>34</v>
      </c>
      <c r="N295" s="3"/>
      <c r="O295" s="5">
        <v>100</v>
      </c>
      <c r="P295" s="5">
        <v>104.19</v>
      </c>
      <c r="Q295" s="5">
        <v>96.75</v>
      </c>
      <c r="R295" s="5">
        <v>96.44</v>
      </c>
      <c r="S295" s="4">
        <v>40.58</v>
      </c>
      <c r="T295" s="3"/>
      <c r="U295" s="3"/>
      <c r="V295" s="3"/>
      <c r="W295" s="3"/>
      <c r="X295" s="3"/>
      <c r="Y295" s="3"/>
    </row>
    <row r="296" spans="1:25" hidden="1" x14ac:dyDescent="0.3">
      <c r="A296" s="1">
        <v>232</v>
      </c>
      <c r="B296" s="1" t="s">
        <v>244</v>
      </c>
      <c r="C296" s="1" t="s">
        <v>26</v>
      </c>
      <c r="D296" s="1" t="s">
        <v>93</v>
      </c>
      <c r="E296" s="1" t="s">
        <v>28</v>
      </c>
      <c r="F296" s="1" t="s">
        <v>29</v>
      </c>
      <c r="G296" s="1" t="s">
        <v>30</v>
      </c>
      <c r="H296" s="1" t="s">
        <v>31</v>
      </c>
      <c r="I296" s="1">
        <v>90</v>
      </c>
      <c r="J296" s="1" t="s">
        <v>245</v>
      </c>
      <c r="K296" s="1" t="s">
        <v>33</v>
      </c>
      <c r="L296" s="1" t="s">
        <v>33</v>
      </c>
      <c r="M296" s="1" t="s">
        <v>34</v>
      </c>
      <c r="N296" s="3"/>
      <c r="O296" s="6">
        <v>84.62</v>
      </c>
      <c r="P296" s="4">
        <v>100</v>
      </c>
      <c r="Q296" s="4">
        <v>95.45</v>
      </c>
      <c r="R296" s="4">
        <v>91.3</v>
      </c>
      <c r="S296" s="4">
        <v>100</v>
      </c>
      <c r="T296" s="3"/>
      <c r="U296" s="3"/>
      <c r="V296" s="3"/>
      <c r="W296" s="3"/>
      <c r="X296" s="3"/>
      <c r="Y296" s="3"/>
    </row>
    <row r="297" spans="1:25" hidden="1" x14ac:dyDescent="0.3">
      <c r="A297" s="1">
        <v>245</v>
      </c>
      <c r="B297" s="1" t="s">
        <v>291</v>
      </c>
      <c r="C297" s="1" t="s">
        <v>47</v>
      </c>
      <c r="D297" s="1" t="s">
        <v>292</v>
      </c>
      <c r="E297" s="1" t="s">
        <v>28</v>
      </c>
      <c r="F297" s="1" t="s">
        <v>29</v>
      </c>
      <c r="G297" s="1" t="s">
        <v>30</v>
      </c>
      <c r="H297" s="1" t="s">
        <v>31</v>
      </c>
      <c r="I297" s="1">
        <v>100</v>
      </c>
      <c r="J297" s="1" t="s">
        <v>293</v>
      </c>
      <c r="K297" s="1" t="s">
        <v>33</v>
      </c>
      <c r="L297" s="1" t="s">
        <v>33</v>
      </c>
      <c r="M297" s="1" t="s">
        <v>34</v>
      </c>
      <c r="N297" s="4">
        <v>100.12</v>
      </c>
      <c r="O297" s="4">
        <v>100.93</v>
      </c>
      <c r="P297" s="4">
        <v>100.22</v>
      </c>
      <c r="Q297" s="4">
        <v>100.15</v>
      </c>
      <c r="R297" s="6">
        <v>98.14</v>
      </c>
      <c r="S297" s="6">
        <v>97.84</v>
      </c>
      <c r="T297" s="3"/>
      <c r="U297" s="3"/>
      <c r="V297" s="3"/>
      <c r="W297" s="3"/>
      <c r="X297" s="3"/>
      <c r="Y297" s="3"/>
    </row>
    <row r="298" spans="1:25" hidden="1" x14ac:dyDescent="0.3">
      <c r="A298" s="1">
        <v>246</v>
      </c>
      <c r="B298" s="1" t="s">
        <v>294</v>
      </c>
      <c r="C298" s="1" t="s">
        <v>47</v>
      </c>
      <c r="D298" s="1" t="s">
        <v>295</v>
      </c>
      <c r="E298" s="1" t="s">
        <v>44</v>
      </c>
      <c r="F298" s="1" t="s">
        <v>29</v>
      </c>
      <c r="G298" s="1" t="s">
        <v>30</v>
      </c>
      <c r="H298" s="1" t="s">
        <v>31</v>
      </c>
      <c r="I298" s="1">
        <v>90</v>
      </c>
      <c r="J298" s="1" t="s">
        <v>296</v>
      </c>
      <c r="K298" s="1" t="s">
        <v>33</v>
      </c>
      <c r="L298" s="1" t="s">
        <v>33</v>
      </c>
      <c r="M298" s="1" t="s">
        <v>34</v>
      </c>
      <c r="N298" s="4">
        <v>92.7</v>
      </c>
      <c r="O298" s="4">
        <v>90.1</v>
      </c>
      <c r="P298" s="5">
        <v>94.4</v>
      </c>
      <c r="Q298" s="5">
        <v>92.5</v>
      </c>
      <c r="R298" s="7">
        <v>61.4</v>
      </c>
      <c r="S298" s="3"/>
      <c r="T298" s="3"/>
      <c r="U298" s="3"/>
      <c r="V298" s="3"/>
      <c r="W298" s="3"/>
      <c r="X298" s="3"/>
      <c r="Y298" s="3"/>
    </row>
    <row r="299" spans="1:25" hidden="1" x14ac:dyDescent="0.3">
      <c r="A299" s="1">
        <v>252</v>
      </c>
      <c r="B299" s="1" t="s">
        <v>300</v>
      </c>
      <c r="C299" s="1" t="s">
        <v>47</v>
      </c>
      <c r="D299" s="1" t="s">
        <v>292</v>
      </c>
      <c r="E299" s="1" t="s">
        <v>28</v>
      </c>
      <c r="F299" s="1" t="s">
        <v>29</v>
      </c>
      <c r="G299" s="1" t="s">
        <v>30</v>
      </c>
      <c r="H299" s="1" t="s">
        <v>31</v>
      </c>
      <c r="I299" s="1">
        <v>100</v>
      </c>
      <c r="J299" s="1" t="s">
        <v>301</v>
      </c>
      <c r="K299" s="1" t="s">
        <v>33</v>
      </c>
      <c r="L299" s="1" t="s">
        <v>33</v>
      </c>
      <c r="M299" s="1" t="s">
        <v>34</v>
      </c>
      <c r="N299" s="6">
        <v>99.87</v>
      </c>
      <c r="O299" s="6">
        <v>99.58</v>
      </c>
      <c r="P299" s="6">
        <v>99.49</v>
      </c>
      <c r="Q299" s="5">
        <v>104.47</v>
      </c>
      <c r="R299" s="5">
        <v>109.91</v>
      </c>
      <c r="S299" s="6">
        <v>98.81</v>
      </c>
      <c r="T299" s="3"/>
      <c r="U299" s="3"/>
      <c r="V299" s="3"/>
      <c r="W299" s="3"/>
      <c r="X299" s="3"/>
      <c r="Y299" s="3"/>
    </row>
    <row r="300" spans="1:25" hidden="1" x14ac:dyDescent="0.3">
      <c r="A300" s="1">
        <v>256</v>
      </c>
      <c r="B300" s="1" t="s">
        <v>319</v>
      </c>
      <c r="C300" s="1" t="s">
        <v>47</v>
      </c>
      <c r="D300" s="1" t="s">
        <v>134</v>
      </c>
      <c r="E300" s="1" t="s">
        <v>28</v>
      </c>
      <c r="F300" s="1" t="s">
        <v>29</v>
      </c>
      <c r="G300" s="1" t="s">
        <v>30</v>
      </c>
      <c r="H300" s="1" t="s">
        <v>31</v>
      </c>
      <c r="I300" s="1">
        <v>100</v>
      </c>
      <c r="J300" s="1" t="s">
        <v>320</v>
      </c>
      <c r="K300" s="1" t="s">
        <v>33</v>
      </c>
      <c r="L300" s="1" t="s">
        <v>33</v>
      </c>
      <c r="M300" s="1" t="s">
        <v>34</v>
      </c>
      <c r="N300" s="3"/>
      <c r="O300" s="4">
        <v>100</v>
      </c>
      <c r="P300" s="5">
        <v>152.94</v>
      </c>
      <c r="Q300" s="5">
        <v>117.65</v>
      </c>
      <c r="R300" s="5">
        <v>123.53</v>
      </c>
      <c r="S300" s="5">
        <v>123.52941176471001</v>
      </c>
      <c r="T300" s="3"/>
      <c r="U300" s="3"/>
      <c r="V300" s="3"/>
      <c r="W300" s="3"/>
      <c r="X300" s="3"/>
      <c r="Y300" s="3"/>
    </row>
    <row r="301" spans="1:25" hidden="1" x14ac:dyDescent="0.3">
      <c r="A301" s="1">
        <v>260</v>
      </c>
      <c r="B301" s="1" t="s">
        <v>321</v>
      </c>
      <c r="C301" s="1" t="s">
        <v>47</v>
      </c>
      <c r="D301" s="1" t="s">
        <v>322</v>
      </c>
      <c r="E301" s="1" t="s">
        <v>40</v>
      </c>
      <c r="F301" s="1" t="s">
        <v>29</v>
      </c>
      <c r="G301" s="1" t="s">
        <v>41</v>
      </c>
      <c r="H301" s="1" t="s">
        <v>31</v>
      </c>
      <c r="I301" s="1">
        <v>2.1</v>
      </c>
      <c r="J301" s="1" t="s">
        <v>323</v>
      </c>
      <c r="K301" s="1" t="s">
        <v>33</v>
      </c>
      <c r="L301" s="1" t="s">
        <v>33</v>
      </c>
      <c r="M301" s="1" t="s">
        <v>34</v>
      </c>
      <c r="N301" s="4">
        <v>1.9</v>
      </c>
      <c r="O301" s="5">
        <v>1.9</v>
      </c>
      <c r="P301" s="5">
        <v>2.1</v>
      </c>
      <c r="Q301" s="4">
        <v>2.5099999999999998</v>
      </c>
      <c r="R301" s="4">
        <v>2.9</v>
      </c>
      <c r="S301" s="4">
        <v>2.8</v>
      </c>
      <c r="T301" s="3"/>
      <c r="U301" s="3"/>
      <c r="V301" s="3"/>
      <c r="W301" s="3"/>
      <c r="X301" s="3"/>
      <c r="Y301" s="3"/>
    </row>
    <row r="302" spans="1:25" hidden="1" x14ac:dyDescent="0.3">
      <c r="A302" s="1">
        <v>261</v>
      </c>
      <c r="B302" s="1" t="s">
        <v>324</v>
      </c>
      <c r="C302" s="1" t="s">
        <v>47</v>
      </c>
      <c r="D302" s="1" t="s">
        <v>141</v>
      </c>
      <c r="E302" s="1" t="s">
        <v>40</v>
      </c>
      <c r="F302" s="1" t="s">
        <v>29</v>
      </c>
      <c r="G302" s="1" t="s">
        <v>41</v>
      </c>
      <c r="H302" s="1" t="s">
        <v>31</v>
      </c>
      <c r="I302" s="1">
        <v>2.2000000000000002</v>
      </c>
      <c r="J302" s="1" t="s">
        <v>325</v>
      </c>
      <c r="K302" s="1" t="s">
        <v>33</v>
      </c>
      <c r="L302" s="1" t="s">
        <v>33</v>
      </c>
      <c r="M302" s="1" t="s">
        <v>34</v>
      </c>
      <c r="N302" s="4">
        <v>2.1</v>
      </c>
      <c r="O302" s="6">
        <v>2.2999999999999998</v>
      </c>
      <c r="P302" s="4">
        <v>2.2000000000000002</v>
      </c>
      <c r="Q302" s="4">
        <v>2.2000000000000002</v>
      </c>
      <c r="R302" s="4">
        <v>2.06</v>
      </c>
      <c r="S302" s="5">
        <v>1.98</v>
      </c>
      <c r="T302" s="3"/>
      <c r="U302" s="3"/>
      <c r="V302" s="3"/>
      <c r="W302" s="3"/>
      <c r="X302" s="3"/>
      <c r="Y302" s="3"/>
    </row>
    <row r="303" spans="1:25" hidden="1" x14ac:dyDescent="0.3">
      <c r="A303" s="1">
        <v>262</v>
      </c>
      <c r="B303" s="1" t="s">
        <v>326</v>
      </c>
      <c r="C303" s="1" t="s">
        <v>47</v>
      </c>
      <c r="D303" s="1" t="s">
        <v>327</v>
      </c>
      <c r="E303" s="1" t="s">
        <v>44</v>
      </c>
      <c r="F303" s="1" t="s">
        <v>29</v>
      </c>
      <c r="G303" s="1" t="s">
        <v>41</v>
      </c>
      <c r="H303" s="1" t="s">
        <v>31</v>
      </c>
      <c r="I303" s="1"/>
      <c r="J303" s="1" t="s">
        <v>328</v>
      </c>
      <c r="K303" s="1" t="s">
        <v>33</v>
      </c>
      <c r="L303" s="1" t="s">
        <v>33</v>
      </c>
      <c r="M303" s="1" t="s">
        <v>34</v>
      </c>
      <c r="N303" s="9">
        <v>0</v>
      </c>
      <c r="O303" s="5">
        <v>0</v>
      </c>
      <c r="P303" s="5">
        <v>0</v>
      </c>
      <c r="Q303" s="5">
        <v>0</v>
      </c>
      <c r="R303" s="5">
        <v>11.11</v>
      </c>
      <c r="S303" s="5">
        <v>0</v>
      </c>
      <c r="T303" s="3"/>
      <c r="U303" s="3"/>
      <c r="V303" s="3"/>
      <c r="W303" s="3"/>
      <c r="X303" s="3"/>
      <c r="Y303" s="3"/>
    </row>
    <row r="304" spans="1:25" hidden="1" x14ac:dyDescent="0.3">
      <c r="A304" s="1">
        <v>268</v>
      </c>
      <c r="B304" s="1" t="s">
        <v>335</v>
      </c>
      <c r="C304" s="1" t="s">
        <v>47</v>
      </c>
      <c r="D304" s="1" t="s">
        <v>336</v>
      </c>
      <c r="E304" s="1" t="s">
        <v>116</v>
      </c>
      <c r="F304" s="1" t="s">
        <v>29</v>
      </c>
      <c r="G304" s="1" t="s">
        <v>30</v>
      </c>
      <c r="H304" s="1" t="s">
        <v>31</v>
      </c>
      <c r="I304" s="1" t="s">
        <v>117</v>
      </c>
      <c r="J304" s="1" t="s">
        <v>337</v>
      </c>
      <c r="K304" s="1" t="s">
        <v>33</v>
      </c>
      <c r="L304" s="1" t="s">
        <v>33</v>
      </c>
      <c r="M304" s="1" t="s">
        <v>34</v>
      </c>
      <c r="N304" s="8">
        <v>877</v>
      </c>
      <c r="O304" s="8">
        <v>765</v>
      </c>
      <c r="P304" s="8">
        <v>732</v>
      </c>
      <c r="Q304" s="8">
        <v>743</v>
      </c>
      <c r="R304" s="8">
        <v>727</v>
      </c>
      <c r="S304" s="8">
        <v>661</v>
      </c>
      <c r="T304" s="3"/>
      <c r="U304" s="3"/>
      <c r="V304" s="3"/>
      <c r="W304" s="3"/>
      <c r="X304" s="3"/>
      <c r="Y304" s="3"/>
    </row>
    <row r="305" spans="1:25" hidden="1" x14ac:dyDescent="0.3">
      <c r="A305" s="1">
        <v>269</v>
      </c>
      <c r="B305" s="1" t="s">
        <v>338</v>
      </c>
      <c r="C305" s="1" t="s">
        <v>26</v>
      </c>
      <c r="D305" s="1" t="s">
        <v>336</v>
      </c>
      <c r="E305" s="1" t="s">
        <v>116</v>
      </c>
      <c r="F305" s="1" t="s">
        <v>29</v>
      </c>
      <c r="G305" s="1" t="s">
        <v>30</v>
      </c>
      <c r="H305" s="1" t="s">
        <v>31</v>
      </c>
      <c r="I305" s="1" t="s">
        <v>117</v>
      </c>
      <c r="J305" s="1" t="s">
        <v>339</v>
      </c>
      <c r="K305" s="1" t="s">
        <v>33</v>
      </c>
      <c r="L305" s="1" t="s">
        <v>33</v>
      </c>
      <c r="M305" s="1" t="s">
        <v>34</v>
      </c>
      <c r="N305" s="8">
        <v>1.65</v>
      </c>
      <c r="O305" s="8">
        <v>1.83</v>
      </c>
      <c r="P305" s="8">
        <v>1.28</v>
      </c>
      <c r="Q305" s="8">
        <v>3</v>
      </c>
      <c r="R305" s="8">
        <v>1.2769784172661871</v>
      </c>
      <c r="S305" s="8">
        <v>0.4</v>
      </c>
      <c r="T305" s="3"/>
      <c r="U305" s="3"/>
      <c r="V305" s="3"/>
      <c r="W305" s="3"/>
      <c r="X305" s="3"/>
      <c r="Y305" s="3"/>
    </row>
    <row r="306" spans="1:25" hidden="1" x14ac:dyDescent="0.3">
      <c r="A306" s="1">
        <v>270</v>
      </c>
      <c r="B306" s="1" t="s">
        <v>340</v>
      </c>
      <c r="C306" s="1" t="s">
        <v>26</v>
      </c>
      <c r="D306" s="1" t="s">
        <v>336</v>
      </c>
      <c r="E306" s="1" t="s">
        <v>116</v>
      </c>
      <c r="F306" s="1" t="s">
        <v>29</v>
      </c>
      <c r="G306" s="1" t="s">
        <v>30</v>
      </c>
      <c r="H306" s="1" t="s">
        <v>31</v>
      </c>
      <c r="I306" s="1" t="s">
        <v>117</v>
      </c>
      <c r="J306" s="1" t="s">
        <v>341</v>
      </c>
      <c r="K306" s="1" t="s">
        <v>33</v>
      </c>
      <c r="L306" s="1" t="s">
        <v>33</v>
      </c>
      <c r="M306" s="1" t="s">
        <v>34</v>
      </c>
      <c r="N306" s="8">
        <v>4.3</v>
      </c>
      <c r="O306" s="8">
        <v>4.17</v>
      </c>
      <c r="P306" s="8">
        <v>4.57</v>
      </c>
      <c r="Q306" s="8">
        <v>4.88</v>
      </c>
      <c r="R306" s="8">
        <v>3.83</v>
      </c>
      <c r="S306" s="8">
        <v>6.55</v>
      </c>
      <c r="T306" s="3"/>
      <c r="U306" s="3"/>
      <c r="V306" s="3"/>
      <c r="W306" s="3"/>
      <c r="X306" s="3"/>
      <c r="Y306" s="3"/>
    </row>
    <row r="307" spans="1:25" hidden="1" x14ac:dyDescent="0.3">
      <c r="A307" s="1">
        <v>271</v>
      </c>
      <c r="B307" s="1" t="s">
        <v>342</v>
      </c>
      <c r="C307" s="1" t="s">
        <v>26</v>
      </c>
      <c r="D307" s="1" t="s">
        <v>336</v>
      </c>
      <c r="E307" s="1" t="s">
        <v>116</v>
      </c>
      <c r="F307" s="1" t="s">
        <v>29</v>
      </c>
      <c r="G307" s="1" t="s">
        <v>30</v>
      </c>
      <c r="H307" s="1" t="s">
        <v>31</v>
      </c>
      <c r="I307" s="1" t="s">
        <v>117</v>
      </c>
      <c r="J307" s="1" t="s">
        <v>343</v>
      </c>
      <c r="K307" s="1" t="s">
        <v>33</v>
      </c>
      <c r="L307" s="1" t="s">
        <v>33</v>
      </c>
      <c r="M307" s="1" t="s">
        <v>34</v>
      </c>
      <c r="N307" s="8">
        <v>19.93</v>
      </c>
      <c r="O307" s="8">
        <v>23.85</v>
      </c>
      <c r="P307" s="8">
        <v>16.86</v>
      </c>
      <c r="Q307" s="8">
        <v>19.394716523273772</v>
      </c>
      <c r="R307" s="8">
        <v>16.172336466434469</v>
      </c>
      <c r="S307" s="8">
        <v>63.291139240506332</v>
      </c>
      <c r="T307" s="3"/>
      <c r="U307" s="3"/>
      <c r="V307" s="3"/>
      <c r="W307" s="3"/>
      <c r="X307" s="3"/>
      <c r="Y307" s="3"/>
    </row>
    <row r="308" spans="1:25" hidden="1" x14ac:dyDescent="0.3">
      <c r="A308" s="1">
        <v>273</v>
      </c>
      <c r="B308" s="1" t="s">
        <v>346</v>
      </c>
      <c r="C308" s="1" t="s">
        <v>47</v>
      </c>
      <c r="D308" s="1" t="s">
        <v>347</v>
      </c>
      <c r="E308" s="1" t="s">
        <v>40</v>
      </c>
      <c r="F308" s="1" t="s">
        <v>29</v>
      </c>
      <c r="G308" s="1" t="s">
        <v>30</v>
      </c>
      <c r="H308" s="1" t="s">
        <v>31</v>
      </c>
      <c r="I308" s="1">
        <v>100</v>
      </c>
      <c r="J308" s="1" t="s">
        <v>348</v>
      </c>
      <c r="K308" s="1" t="s">
        <v>33</v>
      </c>
      <c r="L308" s="1" t="s">
        <v>33</v>
      </c>
      <c r="M308" s="1" t="s">
        <v>34</v>
      </c>
      <c r="N308" s="4">
        <v>100</v>
      </c>
      <c r="O308" s="5">
        <v>150</v>
      </c>
      <c r="P308" s="4">
        <v>100</v>
      </c>
      <c r="Q308" s="4">
        <v>100</v>
      </c>
      <c r="R308" s="4">
        <v>100</v>
      </c>
      <c r="S308" s="4">
        <v>100</v>
      </c>
      <c r="T308" s="3"/>
      <c r="U308" s="3"/>
      <c r="V308" s="3"/>
      <c r="W308" s="3"/>
      <c r="X308" s="3"/>
      <c r="Y308" s="3"/>
    </row>
    <row r="309" spans="1:25" hidden="1" x14ac:dyDescent="0.3">
      <c r="A309" s="1">
        <v>274</v>
      </c>
      <c r="B309" s="1" t="s">
        <v>349</v>
      </c>
      <c r="C309" s="1" t="s">
        <v>47</v>
      </c>
      <c r="D309" s="1" t="s">
        <v>322</v>
      </c>
      <c r="E309" s="1" t="s">
        <v>28</v>
      </c>
      <c r="F309" s="1" t="s">
        <v>29</v>
      </c>
      <c r="G309" s="1" t="s">
        <v>30</v>
      </c>
      <c r="H309" s="1" t="s">
        <v>153</v>
      </c>
      <c r="I309" s="1">
        <v>100</v>
      </c>
      <c r="J309" s="1" t="s">
        <v>350</v>
      </c>
      <c r="K309" s="1" t="s">
        <v>155</v>
      </c>
      <c r="L309" s="1" t="s">
        <v>34</v>
      </c>
      <c r="M309" s="1" t="s">
        <v>34</v>
      </c>
      <c r="N309" s="5">
        <v>102.03</v>
      </c>
      <c r="O309" s="5">
        <v>105.8</v>
      </c>
      <c r="P309" s="5">
        <v>101.60875003065451</v>
      </c>
      <c r="Q309" s="5">
        <v>102.33930181631</v>
      </c>
      <c r="R309" s="6">
        <v>97.505500813164005</v>
      </c>
      <c r="S309" s="6">
        <v>97.855020351087006</v>
      </c>
      <c r="T309" s="3" t="s">
        <v>59</v>
      </c>
      <c r="U309" s="3" t="s">
        <v>59</v>
      </c>
      <c r="V309" s="3" t="s">
        <v>59</v>
      </c>
      <c r="W309" s="3" t="s">
        <v>59</v>
      </c>
      <c r="X309" s="3" t="s">
        <v>59</v>
      </c>
      <c r="Y309" s="3" t="s">
        <v>59</v>
      </c>
    </row>
    <row r="310" spans="1:25" hidden="1" x14ac:dyDescent="0.3">
      <c r="A310">
        <v>274</v>
      </c>
      <c r="B310" t="s">
        <v>349</v>
      </c>
      <c r="C310" t="s">
        <v>47</v>
      </c>
      <c r="D310" t="s">
        <v>322</v>
      </c>
      <c r="E310" t="s">
        <v>28</v>
      </c>
      <c r="F310" t="s">
        <v>29</v>
      </c>
      <c r="G310" t="s">
        <v>30</v>
      </c>
      <c r="H310" t="s">
        <v>153</v>
      </c>
      <c r="I310">
        <v>100</v>
      </c>
      <c r="J310" t="s">
        <v>350</v>
      </c>
      <c r="K310" t="s">
        <v>155</v>
      </c>
      <c r="L310" t="s">
        <v>351</v>
      </c>
      <c r="M310" t="s">
        <v>352</v>
      </c>
      <c r="N310" s="3">
        <v>110.61</v>
      </c>
      <c r="O310" s="3">
        <v>106.39</v>
      </c>
      <c r="P310" s="3" t="s">
        <v>59</v>
      </c>
      <c r="Q310" s="3">
        <v>112.94</v>
      </c>
      <c r="R310" s="3">
        <v>115.22</v>
      </c>
      <c r="S310" s="3">
        <v>117.51</v>
      </c>
      <c r="T310" s="3" t="s">
        <v>59</v>
      </c>
      <c r="U310" s="3" t="s">
        <v>59</v>
      </c>
      <c r="V310" s="3" t="s">
        <v>59</v>
      </c>
      <c r="W310" s="3" t="s">
        <v>59</v>
      </c>
      <c r="X310" s="3" t="s">
        <v>59</v>
      </c>
      <c r="Y310" s="3" t="s">
        <v>59</v>
      </c>
    </row>
    <row r="311" spans="1:25" hidden="1" x14ac:dyDescent="0.3">
      <c r="A311">
        <v>274</v>
      </c>
      <c r="B311" t="s">
        <v>349</v>
      </c>
      <c r="C311" t="s">
        <v>47</v>
      </c>
      <c r="D311" t="s">
        <v>322</v>
      </c>
      <c r="E311" t="s">
        <v>28</v>
      </c>
      <c r="F311" t="s">
        <v>29</v>
      </c>
      <c r="G311" t="s">
        <v>30</v>
      </c>
      <c r="H311" t="s">
        <v>153</v>
      </c>
      <c r="I311">
        <v>100</v>
      </c>
      <c r="J311" t="s">
        <v>350</v>
      </c>
      <c r="K311" t="s">
        <v>155</v>
      </c>
      <c r="L311" t="s">
        <v>353</v>
      </c>
      <c r="M311" t="s">
        <v>354</v>
      </c>
      <c r="N311" s="3">
        <v>100.65</v>
      </c>
      <c r="O311" s="3">
        <v>103.86</v>
      </c>
      <c r="P311" s="3" t="s">
        <v>59</v>
      </c>
      <c r="Q311" s="3">
        <v>103.38</v>
      </c>
      <c r="R311" s="3">
        <v>103.35</v>
      </c>
      <c r="S311" s="3">
        <v>99.9</v>
      </c>
      <c r="T311" s="3" t="s">
        <v>59</v>
      </c>
      <c r="U311" s="3" t="s">
        <v>59</v>
      </c>
      <c r="V311" s="3" t="s">
        <v>59</v>
      </c>
      <c r="W311" s="3" t="s">
        <v>59</v>
      </c>
      <c r="X311" s="3" t="s">
        <v>59</v>
      </c>
      <c r="Y311" s="3" t="s">
        <v>59</v>
      </c>
    </row>
    <row r="312" spans="1:25" hidden="1" x14ac:dyDescent="0.3">
      <c r="A312">
        <v>274</v>
      </c>
      <c r="B312" t="s">
        <v>349</v>
      </c>
      <c r="C312" t="s">
        <v>47</v>
      </c>
      <c r="D312" t="s">
        <v>322</v>
      </c>
      <c r="E312" t="s">
        <v>28</v>
      </c>
      <c r="F312" t="s">
        <v>29</v>
      </c>
      <c r="G312" t="s">
        <v>30</v>
      </c>
      <c r="H312" t="s">
        <v>153</v>
      </c>
      <c r="I312">
        <v>100</v>
      </c>
      <c r="J312" t="s">
        <v>350</v>
      </c>
      <c r="K312" t="s">
        <v>155</v>
      </c>
      <c r="L312" t="s">
        <v>355</v>
      </c>
      <c r="M312" t="s">
        <v>356</v>
      </c>
      <c r="N312" s="3">
        <v>101.67</v>
      </c>
      <c r="O312" s="3">
        <v>107.06</v>
      </c>
      <c r="P312" s="3" t="s">
        <v>59</v>
      </c>
      <c r="Q312" s="3">
        <v>100.97</v>
      </c>
      <c r="R312" s="3">
        <v>96.09</v>
      </c>
      <c r="S312" s="3">
        <v>97.15</v>
      </c>
      <c r="T312" s="3" t="s">
        <v>59</v>
      </c>
      <c r="U312" s="3" t="s">
        <v>59</v>
      </c>
      <c r="V312" s="3" t="s">
        <v>59</v>
      </c>
      <c r="W312" s="3" t="s">
        <v>59</v>
      </c>
      <c r="X312" s="3" t="s">
        <v>59</v>
      </c>
      <c r="Y312" s="3" t="s">
        <v>59</v>
      </c>
    </row>
    <row r="313" spans="1:25" hidden="1" x14ac:dyDescent="0.3">
      <c r="A313">
        <v>274</v>
      </c>
      <c r="B313" t="s">
        <v>349</v>
      </c>
      <c r="C313" t="s">
        <v>47</v>
      </c>
      <c r="D313" t="s">
        <v>322</v>
      </c>
      <c r="E313" t="s">
        <v>28</v>
      </c>
      <c r="F313" t="s">
        <v>29</v>
      </c>
      <c r="G313" t="s">
        <v>30</v>
      </c>
      <c r="H313" t="s">
        <v>153</v>
      </c>
      <c r="I313">
        <v>100</v>
      </c>
      <c r="J313" t="s">
        <v>350</v>
      </c>
      <c r="K313" t="s">
        <v>155</v>
      </c>
      <c r="L313" t="s">
        <v>357</v>
      </c>
      <c r="M313" t="s">
        <v>358</v>
      </c>
      <c r="N313" s="3">
        <v>111.09</v>
      </c>
      <c r="O313" s="3">
        <v>89.87</v>
      </c>
      <c r="P313" s="3" t="s">
        <v>59</v>
      </c>
      <c r="Q313" s="3">
        <v>136.75</v>
      </c>
      <c r="R313" s="3">
        <v>103.39</v>
      </c>
      <c r="S313" s="3">
        <v>105.81</v>
      </c>
      <c r="T313" s="3" t="s">
        <v>59</v>
      </c>
      <c r="U313" s="3" t="s">
        <v>59</v>
      </c>
      <c r="V313" s="3" t="s">
        <v>59</v>
      </c>
      <c r="W313" s="3" t="s">
        <v>59</v>
      </c>
      <c r="X313" s="3" t="s">
        <v>59</v>
      </c>
      <c r="Y313" s="3" t="s">
        <v>59</v>
      </c>
    </row>
    <row r="314" spans="1:25" hidden="1" x14ac:dyDescent="0.3">
      <c r="A314" s="1">
        <v>275</v>
      </c>
      <c r="B314" s="1" t="s">
        <v>359</v>
      </c>
      <c r="C314" s="1" t="s">
        <v>47</v>
      </c>
      <c r="D314" s="1" t="s">
        <v>360</v>
      </c>
      <c r="E314" s="1" t="s">
        <v>44</v>
      </c>
      <c r="F314" s="1" t="s">
        <v>29</v>
      </c>
      <c r="G314" s="1" t="s">
        <v>30</v>
      </c>
      <c r="H314" s="1" t="s">
        <v>153</v>
      </c>
      <c r="I314" s="1">
        <v>80</v>
      </c>
      <c r="J314" s="1" t="s">
        <v>361</v>
      </c>
      <c r="K314" s="1" t="s">
        <v>207</v>
      </c>
      <c r="L314" s="1" t="s">
        <v>34</v>
      </c>
      <c r="M314" s="1" t="s">
        <v>34</v>
      </c>
      <c r="N314" s="5">
        <v>91.67</v>
      </c>
      <c r="O314" s="5">
        <v>90</v>
      </c>
      <c r="P314" s="5">
        <v>109.58</v>
      </c>
      <c r="Q314" s="5">
        <v>103.75</v>
      </c>
      <c r="R314" s="3">
        <v>0</v>
      </c>
      <c r="S314" s="3" t="s">
        <v>59</v>
      </c>
      <c r="T314" s="3">
        <v>0</v>
      </c>
      <c r="U314" s="3" t="s">
        <v>59</v>
      </c>
      <c r="V314" s="3">
        <v>0</v>
      </c>
      <c r="W314" s="3" t="s">
        <v>59</v>
      </c>
      <c r="X314" s="3">
        <v>0</v>
      </c>
      <c r="Y314" s="3" t="s">
        <v>59</v>
      </c>
    </row>
    <row r="315" spans="1:25" hidden="1" x14ac:dyDescent="0.3">
      <c r="A315">
        <v>275</v>
      </c>
      <c r="B315" t="s">
        <v>359</v>
      </c>
      <c r="C315" t="s">
        <v>47</v>
      </c>
      <c r="D315" t="s">
        <v>360</v>
      </c>
      <c r="E315" t="s">
        <v>44</v>
      </c>
      <c r="F315" t="s">
        <v>29</v>
      </c>
      <c r="G315" t="s">
        <v>30</v>
      </c>
      <c r="H315" t="s">
        <v>153</v>
      </c>
      <c r="I315">
        <v>80</v>
      </c>
      <c r="J315" t="s">
        <v>361</v>
      </c>
      <c r="K315" t="s">
        <v>207</v>
      </c>
      <c r="L315" t="s">
        <v>362</v>
      </c>
      <c r="M315" t="s">
        <v>363</v>
      </c>
      <c r="N315" s="3">
        <v>91.9</v>
      </c>
      <c r="O315" s="3" t="s">
        <v>59</v>
      </c>
      <c r="P315" s="3">
        <v>110</v>
      </c>
      <c r="Q315" s="3" t="s">
        <v>59</v>
      </c>
      <c r="R315" s="3" t="s">
        <v>59</v>
      </c>
      <c r="S315" s="3" t="s">
        <v>59</v>
      </c>
      <c r="T315" s="3" t="s">
        <v>59</v>
      </c>
      <c r="U315" s="3" t="s">
        <v>59</v>
      </c>
      <c r="V315" s="3" t="s">
        <v>59</v>
      </c>
      <c r="W315" s="3" t="s">
        <v>59</v>
      </c>
      <c r="X315" s="3" t="s">
        <v>59</v>
      </c>
      <c r="Y315" s="3" t="s">
        <v>59</v>
      </c>
    </row>
    <row r="316" spans="1:25" hidden="1" x14ac:dyDescent="0.3">
      <c r="A316">
        <v>275</v>
      </c>
      <c r="B316" t="s">
        <v>359</v>
      </c>
      <c r="C316" t="s">
        <v>47</v>
      </c>
      <c r="D316" t="s">
        <v>360</v>
      </c>
      <c r="E316" t="s">
        <v>44</v>
      </c>
      <c r="F316" t="s">
        <v>29</v>
      </c>
      <c r="G316" t="s">
        <v>30</v>
      </c>
      <c r="H316" t="s">
        <v>153</v>
      </c>
      <c r="I316">
        <v>80</v>
      </c>
      <c r="J316" t="s">
        <v>361</v>
      </c>
      <c r="K316" t="s">
        <v>207</v>
      </c>
      <c r="L316" t="s">
        <v>364</v>
      </c>
      <c r="M316" t="s">
        <v>365</v>
      </c>
      <c r="N316" s="3">
        <v>94.1</v>
      </c>
      <c r="O316" s="3" t="s">
        <v>59</v>
      </c>
      <c r="P316" s="3">
        <v>107.5</v>
      </c>
      <c r="Q316" s="3" t="s">
        <v>59</v>
      </c>
      <c r="R316" s="3" t="s">
        <v>59</v>
      </c>
      <c r="S316" s="3" t="s">
        <v>59</v>
      </c>
      <c r="T316" s="3" t="s">
        <v>59</v>
      </c>
      <c r="U316" s="3" t="s">
        <v>59</v>
      </c>
      <c r="V316" s="3" t="s">
        <v>59</v>
      </c>
      <c r="W316" s="3" t="s">
        <v>59</v>
      </c>
      <c r="X316" s="3" t="s">
        <v>59</v>
      </c>
      <c r="Y316" s="3" t="s">
        <v>59</v>
      </c>
    </row>
    <row r="317" spans="1:25" hidden="1" x14ac:dyDescent="0.3">
      <c r="A317">
        <v>275</v>
      </c>
      <c r="B317" t="s">
        <v>359</v>
      </c>
      <c r="C317" t="s">
        <v>47</v>
      </c>
      <c r="D317" t="s">
        <v>360</v>
      </c>
      <c r="E317" t="s">
        <v>44</v>
      </c>
      <c r="F317" t="s">
        <v>29</v>
      </c>
      <c r="G317" t="s">
        <v>30</v>
      </c>
      <c r="H317" t="s">
        <v>153</v>
      </c>
      <c r="I317">
        <v>80</v>
      </c>
      <c r="J317" t="s">
        <v>361</v>
      </c>
      <c r="K317" t="s">
        <v>207</v>
      </c>
      <c r="L317" t="s">
        <v>366</v>
      </c>
      <c r="M317" t="s">
        <v>367</v>
      </c>
      <c r="N317" s="3">
        <v>89</v>
      </c>
      <c r="O317" s="3">
        <v>90</v>
      </c>
      <c r="P317" s="3">
        <v>111.25</v>
      </c>
      <c r="Q317" s="3" t="s">
        <v>59</v>
      </c>
      <c r="R317" s="3" t="s">
        <v>59</v>
      </c>
      <c r="S317" s="3" t="s">
        <v>59</v>
      </c>
      <c r="T317" s="3" t="s">
        <v>59</v>
      </c>
      <c r="U317" s="3" t="s">
        <v>59</v>
      </c>
      <c r="V317" s="3" t="s">
        <v>59</v>
      </c>
      <c r="W317" s="3" t="s">
        <v>59</v>
      </c>
      <c r="X317" s="3" t="s">
        <v>59</v>
      </c>
      <c r="Y317" s="3" t="s">
        <v>59</v>
      </c>
    </row>
    <row r="318" spans="1:25" hidden="1" x14ac:dyDescent="0.3">
      <c r="A318" s="1">
        <v>276</v>
      </c>
      <c r="B318" s="1" t="s">
        <v>368</v>
      </c>
      <c r="C318" s="1" t="s">
        <v>47</v>
      </c>
      <c r="D318" s="1" t="s">
        <v>369</v>
      </c>
      <c r="E318" s="1" t="s">
        <v>28</v>
      </c>
      <c r="F318" s="1" t="s">
        <v>29</v>
      </c>
      <c r="G318" s="1" t="s">
        <v>41</v>
      </c>
      <c r="H318" s="1" t="s">
        <v>31</v>
      </c>
      <c r="I318" s="1">
        <v>81</v>
      </c>
      <c r="J318" s="1" t="s">
        <v>370</v>
      </c>
      <c r="K318" s="1" t="s">
        <v>33</v>
      </c>
      <c r="L318" s="1" t="s">
        <v>33</v>
      </c>
      <c r="M318" s="1" t="s">
        <v>34</v>
      </c>
      <c r="N318" s="6">
        <v>82.81</v>
      </c>
      <c r="O318" s="6">
        <v>84.18</v>
      </c>
      <c r="P318" s="6">
        <v>82.68</v>
      </c>
      <c r="Q318" s="6">
        <v>83.65</v>
      </c>
      <c r="R318" s="4">
        <v>84.5</v>
      </c>
      <c r="S318" s="6">
        <v>89.99</v>
      </c>
      <c r="T318" s="3"/>
      <c r="U318" s="3"/>
      <c r="V318" s="3"/>
      <c r="W318" s="3"/>
      <c r="X318" s="3"/>
      <c r="Y318" s="3"/>
    </row>
    <row r="319" spans="1:25" hidden="1" x14ac:dyDescent="0.3">
      <c r="A319" s="1">
        <v>277</v>
      </c>
      <c r="B319" s="1" t="s">
        <v>371</v>
      </c>
      <c r="C319" s="1" t="s">
        <v>47</v>
      </c>
      <c r="D319" s="1" t="s">
        <v>369</v>
      </c>
      <c r="E319" s="1" t="s">
        <v>28</v>
      </c>
      <c r="F319" s="1" t="s">
        <v>29</v>
      </c>
      <c r="G319" s="1" t="s">
        <v>41</v>
      </c>
      <c r="H319" s="1" t="s">
        <v>31</v>
      </c>
      <c r="I319" s="1">
        <v>71</v>
      </c>
      <c r="J319" s="1" t="s">
        <v>372</v>
      </c>
      <c r="K319" s="1" t="s">
        <v>33</v>
      </c>
      <c r="L319" s="1" t="s">
        <v>33</v>
      </c>
      <c r="M319" s="1" t="s">
        <v>34</v>
      </c>
      <c r="N319" s="5">
        <v>68.400000000000006</v>
      </c>
      <c r="O319" s="4">
        <v>69.39</v>
      </c>
      <c r="P319" s="4">
        <v>71.239999999999995</v>
      </c>
      <c r="Q319" s="4">
        <v>71.180000000000007</v>
      </c>
      <c r="R319" s="5">
        <v>73.290000000000006</v>
      </c>
      <c r="S319" s="5">
        <v>76.48</v>
      </c>
      <c r="T319" s="3"/>
      <c r="U319" s="3"/>
      <c r="V319" s="3"/>
      <c r="W319" s="3"/>
      <c r="X319" s="3"/>
      <c r="Y319" s="3"/>
    </row>
    <row r="320" spans="1:25" hidden="1" x14ac:dyDescent="0.3">
      <c r="A320" s="1">
        <v>278</v>
      </c>
      <c r="B320" s="1" t="s">
        <v>373</v>
      </c>
      <c r="C320" s="1" t="s">
        <v>26</v>
      </c>
      <c r="D320" s="1" t="s">
        <v>369</v>
      </c>
      <c r="E320" s="1" t="s">
        <v>116</v>
      </c>
      <c r="F320" s="1" t="s">
        <v>29</v>
      </c>
      <c r="G320" s="1" t="s">
        <v>30</v>
      </c>
      <c r="H320" s="1" t="s">
        <v>153</v>
      </c>
      <c r="I320" s="1" t="s">
        <v>117</v>
      </c>
      <c r="J320" s="1" t="s">
        <v>374</v>
      </c>
      <c r="K320" s="1" t="s">
        <v>223</v>
      </c>
      <c r="L320" s="1" t="s">
        <v>34</v>
      </c>
      <c r="M320" s="1" t="s">
        <v>34</v>
      </c>
      <c r="N320" s="8">
        <v>1071</v>
      </c>
      <c r="O320" s="8">
        <v>1099</v>
      </c>
      <c r="P320" s="8">
        <v>1018</v>
      </c>
      <c r="Q320" s="8">
        <v>1080</v>
      </c>
      <c r="R320" s="8">
        <v>1017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</row>
    <row r="321" spans="1:25" hidden="1" x14ac:dyDescent="0.3">
      <c r="A321">
        <v>278</v>
      </c>
      <c r="B321" t="s">
        <v>373</v>
      </c>
      <c r="C321" t="s">
        <v>26</v>
      </c>
      <c r="D321" t="s">
        <v>369</v>
      </c>
      <c r="E321" t="s">
        <v>116</v>
      </c>
      <c r="F321" t="s">
        <v>29</v>
      </c>
      <c r="G321" t="s">
        <v>30</v>
      </c>
      <c r="H321" t="s">
        <v>153</v>
      </c>
      <c r="I321" t="s">
        <v>117</v>
      </c>
      <c r="J321" t="s">
        <v>374</v>
      </c>
      <c r="K321" t="s">
        <v>223</v>
      </c>
      <c r="L321" t="s">
        <v>375</v>
      </c>
      <c r="M321" t="s">
        <v>376</v>
      </c>
      <c r="N321" s="3">
        <v>686</v>
      </c>
      <c r="O321" s="3">
        <v>671</v>
      </c>
      <c r="P321" s="3">
        <v>629</v>
      </c>
      <c r="Q321" s="3">
        <v>628</v>
      </c>
      <c r="R321" s="3">
        <v>608</v>
      </c>
      <c r="S321" s="3">
        <v>572</v>
      </c>
      <c r="T321" s="3" t="s">
        <v>59</v>
      </c>
      <c r="U321" s="3" t="s">
        <v>59</v>
      </c>
      <c r="V321" s="3" t="s">
        <v>59</v>
      </c>
      <c r="W321" s="3" t="s">
        <v>59</v>
      </c>
      <c r="X321" s="3" t="s">
        <v>59</v>
      </c>
      <c r="Y321" s="3" t="s">
        <v>59</v>
      </c>
    </row>
    <row r="322" spans="1:25" hidden="1" x14ac:dyDescent="0.3">
      <c r="A322">
        <v>278</v>
      </c>
      <c r="B322" t="s">
        <v>373</v>
      </c>
      <c r="C322" t="s">
        <v>26</v>
      </c>
      <c r="D322" t="s">
        <v>369</v>
      </c>
      <c r="E322" t="s">
        <v>116</v>
      </c>
      <c r="F322" t="s">
        <v>29</v>
      </c>
      <c r="G322" t="s">
        <v>30</v>
      </c>
      <c r="H322" t="s">
        <v>153</v>
      </c>
      <c r="I322" t="s">
        <v>117</v>
      </c>
      <c r="J322" t="s">
        <v>374</v>
      </c>
      <c r="K322" t="s">
        <v>223</v>
      </c>
      <c r="L322" t="s">
        <v>377</v>
      </c>
      <c r="M322" t="s">
        <v>378</v>
      </c>
      <c r="N322" s="3">
        <v>289</v>
      </c>
      <c r="O322" s="3">
        <v>286</v>
      </c>
      <c r="P322" s="3">
        <v>202</v>
      </c>
      <c r="Q322" s="3">
        <v>221</v>
      </c>
      <c r="R322" s="3">
        <v>186</v>
      </c>
      <c r="S322" s="3">
        <v>203</v>
      </c>
      <c r="T322" s="3" t="s">
        <v>59</v>
      </c>
      <c r="U322" s="3" t="s">
        <v>59</v>
      </c>
      <c r="V322" s="3" t="s">
        <v>59</v>
      </c>
      <c r="W322" s="3" t="s">
        <v>59</v>
      </c>
      <c r="X322" s="3" t="s">
        <v>59</v>
      </c>
      <c r="Y322" s="3" t="s">
        <v>59</v>
      </c>
    </row>
    <row r="323" spans="1:25" hidden="1" x14ac:dyDescent="0.3">
      <c r="A323">
        <v>278</v>
      </c>
      <c r="B323" t="s">
        <v>373</v>
      </c>
      <c r="C323" t="s">
        <v>26</v>
      </c>
      <c r="D323" t="s">
        <v>369</v>
      </c>
      <c r="E323" t="s">
        <v>116</v>
      </c>
      <c r="F323" t="s">
        <v>29</v>
      </c>
      <c r="G323" t="s">
        <v>30</v>
      </c>
      <c r="H323" t="s">
        <v>153</v>
      </c>
      <c r="I323" t="s">
        <v>117</v>
      </c>
      <c r="J323" t="s">
        <v>374</v>
      </c>
      <c r="K323" t="s">
        <v>223</v>
      </c>
      <c r="L323" t="s">
        <v>379</v>
      </c>
      <c r="M323" t="s">
        <v>380</v>
      </c>
      <c r="N323" s="3">
        <v>96</v>
      </c>
      <c r="O323" s="3">
        <v>142</v>
      </c>
      <c r="P323" s="3">
        <v>187</v>
      </c>
      <c r="Q323" s="3">
        <v>231</v>
      </c>
      <c r="R323" s="3">
        <v>223</v>
      </c>
      <c r="S323" s="3">
        <v>240</v>
      </c>
      <c r="T323" s="3" t="s">
        <v>59</v>
      </c>
      <c r="U323" s="3" t="s">
        <v>59</v>
      </c>
      <c r="V323" s="3" t="s">
        <v>59</v>
      </c>
      <c r="W323" s="3" t="s">
        <v>59</v>
      </c>
      <c r="X323" s="3" t="s">
        <v>59</v>
      </c>
      <c r="Y323" s="3" t="s">
        <v>59</v>
      </c>
    </row>
    <row r="324" spans="1:25" hidden="1" x14ac:dyDescent="0.3">
      <c r="A324" s="1">
        <v>282</v>
      </c>
      <c r="B324" s="1" t="s">
        <v>381</v>
      </c>
      <c r="C324" s="1" t="s">
        <v>26</v>
      </c>
      <c r="D324" s="1" t="s">
        <v>369</v>
      </c>
      <c r="E324" s="1" t="s">
        <v>28</v>
      </c>
      <c r="F324" s="1" t="s">
        <v>29</v>
      </c>
      <c r="G324" s="1" t="s">
        <v>30</v>
      </c>
      <c r="H324" s="1" t="s">
        <v>31</v>
      </c>
      <c r="I324" s="1">
        <v>97</v>
      </c>
      <c r="J324" s="1" t="s">
        <v>382</v>
      </c>
      <c r="K324" s="1" t="s">
        <v>33</v>
      </c>
      <c r="L324" s="1" t="s">
        <v>33</v>
      </c>
      <c r="M324" s="1" t="s">
        <v>34</v>
      </c>
      <c r="N324" s="4">
        <v>97.56</v>
      </c>
      <c r="O324" s="4">
        <v>97.41</v>
      </c>
      <c r="P324" s="6">
        <v>96.84</v>
      </c>
      <c r="Q324" s="4">
        <v>97.02</v>
      </c>
      <c r="R324" s="5">
        <v>97.34</v>
      </c>
      <c r="S324" s="5">
        <v>97.02</v>
      </c>
      <c r="T324" s="3"/>
      <c r="U324" s="3"/>
      <c r="V324" s="3"/>
      <c r="W324" s="3"/>
      <c r="X324" s="3"/>
      <c r="Y324" s="3"/>
    </row>
    <row r="325" spans="1:25" hidden="1" x14ac:dyDescent="0.3">
      <c r="A325" s="1">
        <v>283</v>
      </c>
      <c r="B325" s="1" t="s">
        <v>383</v>
      </c>
      <c r="C325" s="1" t="s">
        <v>26</v>
      </c>
      <c r="D325" s="1" t="s">
        <v>369</v>
      </c>
      <c r="E325" s="1" t="s">
        <v>28</v>
      </c>
      <c r="F325" s="1" t="s">
        <v>29</v>
      </c>
      <c r="G325" s="1" t="s">
        <v>30</v>
      </c>
      <c r="H325" s="1" t="s">
        <v>31</v>
      </c>
      <c r="I325" s="1">
        <v>4.5999999999999996</v>
      </c>
      <c r="J325" s="1" t="s">
        <v>384</v>
      </c>
      <c r="K325" s="1" t="s">
        <v>33</v>
      </c>
      <c r="L325" s="1" t="s">
        <v>33</v>
      </c>
      <c r="M325" s="1" t="s">
        <v>34</v>
      </c>
      <c r="N325" s="4">
        <v>4.67</v>
      </c>
      <c r="O325" s="4">
        <v>4.66</v>
      </c>
      <c r="P325" s="5">
        <v>4.6399999999999997</v>
      </c>
      <c r="Q325" s="4">
        <v>4.57</v>
      </c>
      <c r="R325" s="4">
        <v>4.55</v>
      </c>
      <c r="S325" s="4">
        <v>4.5999999999999996</v>
      </c>
      <c r="T325" s="3"/>
      <c r="U325" s="3"/>
      <c r="V325" s="3"/>
      <c r="W325" s="3"/>
      <c r="X325" s="3"/>
      <c r="Y325" s="3"/>
    </row>
    <row r="326" spans="1:25" hidden="1" x14ac:dyDescent="0.3">
      <c r="A326" s="1">
        <v>285</v>
      </c>
      <c r="B326" s="1" t="s">
        <v>385</v>
      </c>
      <c r="C326" s="1" t="s">
        <v>26</v>
      </c>
      <c r="D326" s="1" t="s">
        <v>369</v>
      </c>
      <c r="E326" s="1" t="s">
        <v>28</v>
      </c>
      <c r="F326" s="1" t="s">
        <v>29</v>
      </c>
      <c r="G326" s="1" t="s">
        <v>30</v>
      </c>
      <c r="H326" s="1" t="s">
        <v>31</v>
      </c>
      <c r="I326" s="1">
        <v>100</v>
      </c>
      <c r="J326" s="1" t="s">
        <v>386</v>
      </c>
      <c r="K326" s="1" t="s">
        <v>33</v>
      </c>
      <c r="L326" s="1" t="s">
        <v>33</v>
      </c>
      <c r="M326" s="1" t="s">
        <v>34</v>
      </c>
      <c r="N326" s="4">
        <v>100</v>
      </c>
      <c r="O326" s="4">
        <v>100</v>
      </c>
      <c r="P326" s="4">
        <v>100</v>
      </c>
      <c r="Q326" s="4">
        <v>100</v>
      </c>
      <c r="R326" s="4">
        <v>100</v>
      </c>
      <c r="S326" s="4">
        <v>100</v>
      </c>
      <c r="T326" s="3"/>
      <c r="U326" s="3"/>
      <c r="V326" s="3"/>
      <c r="W326" s="3"/>
      <c r="X326" s="3"/>
      <c r="Y326" s="3"/>
    </row>
    <row r="327" spans="1:25" hidden="1" x14ac:dyDescent="0.3">
      <c r="A327" s="1">
        <v>286</v>
      </c>
      <c r="B327" s="1" t="s">
        <v>387</v>
      </c>
      <c r="C327" s="1" t="s">
        <v>26</v>
      </c>
      <c r="D327" s="1" t="s">
        <v>369</v>
      </c>
      <c r="E327" s="1" t="s">
        <v>116</v>
      </c>
      <c r="F327" s="1" t="s">
        <v>29</v>
      </c>
      <c r="G327" s="1" t="s">
        <v>30</v>
      </c>
      <c r="H327" s="1" t="s">
        <v>153</v>
      </c>
      <c r="I327" s="1" t="s">
        <v>117</v>
      </c>
      <c r="J327" s="1" t="s">
        <v>388</v>
      </c>
      <c r="K327" s="1" t="s">
        <v>223</v>
      </c>
      <c r="L327" s="1" t="s">
        <v>34</v>
      </c>
      <c r="M327" s="1" t="s">
        <v>34</v>
      </c>
      <c r="N327" s="8">
        <v>1071</v>
      </c>
      <c r="O327" s="8">
        <v>1099</v>
      </c>
      <c r="P327" s="8">
        <v>1018</v>
      </c>
      <c r="Q327" s="8">
        <v>1080</v>
      </c>
      <c r="R327" s="8">
        <v>1017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</row>
    <row r="328" spans="1:25" hidden="1" x14ac:dyDescent="0.3">
      <c r="A328">
        <v>286</v>
      </c>
      <c r="B328" t="s">
        <v>387</v>
      </c>
      <c r="C328" t="s">
        <v>26</v>
      </c>
      <c r="D328" t="s">
        <v>369</v>
      </c>
      <c r="E328" t="s">
        <v>116</v>
      </c>
      <c r="F328" t="s">
        <v>29</v>
      </c>
      <c r="G328" t="s">
        <v>30</v>
      </c>
      <c r="H328" t="s">
        <v>153</v>
      </c>
      <c r="I328" t="s">
        <v>117</v>
      </c>
      <c r="J328" t="s">
        <v>388</v>
      </c>
      <c r="K328" t="s">
        <v>223</v>
      </c>
      <c r="L328" t="s">
        <v>389</v>
      </c>
      <c r="M328" t="s">
        <v>390</v>
      </c>
      <c r="N328" s="3">
        <v>90</v>
      </c>
      <c r="O328" s="3">
        <v>94</v>
      </c>
      <c r="P328" s="3">
        <v>79</v>
      </c>
      <c r="Q328" s="3">
        <v>76</v>
      </c>
      <c r="R328" s="3">
        <v>62</v>
      </c>
      <c r="S328" s="3">
        <v>52</v>
      </c>
      <c r="T328" s="3" t="s">
        <v>59</v>
      </c>
      <c r="U328" s="3" t="s">
        <v>59</v>
      </c>
      <c r="V328" s="3" t="s">
        <v>59</v>
      </c>
      <c r="W328" s="3" t="s">
        <v>59</v>
      </c>
      <c r="X328" s="3" t="s">
        <v>59</v>
      </c>
      <c r="Y328" s="3" t="s">
        <v>59</v>
      </c>
    </row>
    <row r="329" spans="1:25" hidden="1" x14ac:dyDescent="0.3">
      <c r="A329">
        <v>286</v>
      </c>
      <c r="B329" t="s">
        <v>387</v>
      </c>
      <c r="C329" t="s">
        <v>26</v>
      </c>
      <c r="D329" t="s">
        <v>369</v>
      </c>
      <c r="E329" t="s">
        <v>116</v>
      </c>
      <c r="F329" t="s">
        <v>29</v>
      </c>
      <c r="G329" t="s">
        <v>30</v>
      </c>
      <c r="H329" t="s">
        <v>153</v>
      </c>
      <c r="I329" t="s">
        <v>117</v>
      </c>
      <c r="J329" t="s">
        <v>388</v>
      </c>
      <c r="K329" t="s">
        <v>223</v>
      </c>
      <c r="L329" t="s">
        <v>391</v>
      </c>
      <c r="M329" t="s">
        <v>392</v>
      </c>
      <c r="N329" s="3">
        <v>817</v>
      </c>
      <c r="O329" s="3">
        <v>846</v>
      </c>
      <c r="P329" s="3">
        <v>761</v>
      </c>
      <c r="Q329" s="3">
        <v>821</v>
      </c>
      <c r="R329" s="3">
        <v>781</v>
      </c>
      <c r="S329" s="3">
        <v>772</v>
      </c>
      <c r="T329" s="3" t="s">
        <v>59</v>
      </c>
      <c r="U329" s="3" t="s">
        <v>59</v>
      </c>
      <c r="V329" s="3" t="s">
        <v>59</v>
      </c>
      <c r="W329" s="3" t="s">
        <v>59</v>
      </c>
      <c r="X329" s="3" t="s">
        <v>59</v>
      </c>
      <c r="Y329" s="3" t="s">
        <v>59</v>
      </c>
    </row>
    <row r="330" spans="1:25" hidden="1" x14ac:dyDescent="0.3">
      <c r="A330">
        <v>286</v>
      </c>
      <c r="B330" t="s">
        <v>387</v>
      </c>
      <c r="C330" t="s">
        <v>26</v>
      </c>
      <c r="D330" t="s">
        <v>369</v>
      </c>
      <c r="E330" t="s">
        <v>116</v>
      </c>
      <c r="F330" t="s">
        <v>29</v>
      </c>
      <c r="G330" t="s">
        <v>30</v>
      </c>
      <c r="H330" t="s">
        <v>153</v>
      </c>
      <c r="I330" t="s">
        <v>117</v>
      </c>
      <c r="J330" t="s">
        <v>388</v>
      </c>
      <c r="K330" t="s">
        <v>223</v>
      </c>
      <c r="L330" t="s">
        <v>393</v>
      </c>
      <c r="M330" t="s">
        <v>394</v>
      </c>
      <c r="N330" s="3">
        <v>100</v>
      </c>
      <c r="O330" s="3">
        <v>90</v>
      </c>
      <c r="P330" s="3">
        <v>99</v>
      </c>
      <c r="Q330" s="3">
        <v>104</v>
      </c>
      <c r="R330" s="3">
        <v>108</v>
      </c>
      <c r="S330" s="3">
        <v>129</v>
      </c>
      <c r="T330" s="3" t="s">
        <v>59</v>
      </c>
      <c r="U330" s="3" t="s">
        <v>59</v>
      </c>
      <c r="V330" s="3" t="s">
        <v>59</v>
      </c>
      <c r="W330" s="3" t="s">
        <v>59</v>
      </c>
      <c r="X330" s="3" t="s">
        <v>59</v>
      </c>
      <c r="Y330" s="3" t="s">
        <v>59</v>
      </c>
    </row>
    <row r="331" spans="1:25" hidden="1" x14ac:dyDescent="0.3">
      <c r="A331">
        <v>286</v>
      </c>
      <c r="B331" t="s">
        <v>387</v>
      </c>
      <c r="C331" t="s">
        <v>26</v>
      </c>
      <c r="D331" t="s">
        <v>369</v>
      </c>
      <c r="E331" t="s">
        <v>116</v>
      </c>
      <c r="F331" t="s">
        <v>29</v>
      </c>
      <c r="G331" t="s">
        <v>30</v>
      </c>
      <c r="H331" t="s">
        <v>153</v>
      </c>
      <c r="I331" t="s">
        <v>117</v>
      </c>
      <c r="J331" t="s">
        <v>388</v>
      </c>
      <c r="K331" t="s">
        <v>223</v>
      </c>
      <c r="L331" t="s">
        <v>395</v>
      </c>
      <c r="M331" t="s">
        <v>396</v>
      </c>
      <c r="N331" s="3">
        <v>64</v>
      </c>
      <c r="O331" s="3">
        <v>69</v>
      </c>
      <c r="P331" s="3">
        <v>79</v>
      </c>
      <c r="Q331" s="3">
        <v>79</v>
      </c>
      <c r="R331" s="3">
        <v>66</v>
      </c>
      <c r="S331" s="3">
        <v>62</v>
      </c>
      <c r="T331" s="3" t="s">
        <v>59</v>
      </c>
      <c r="U331" s="3" t="s">
        <v>59</v>
      </c>
      <c r="V331" s="3" t="s">
        <v>59</v>
      </c>
      <c r="W331" s="3" t="s">
        <v>59</v>
      </c>
      <c r="X331" s="3" t="s">
        <v>59</v>
      </c>
      <c r="Y331" s="3" t="s">
        <v>59</v>
      </c>
    </row>
    <row r="332" spans="1:25" hidden="1" x14ac:dyDescent="0.3">
      <c r="A332" s="1">
        <v>292</v>
      </c>
      <c r="B332" s="1" t="s">
        <v>421</v>
      </c>
      <c r="C332" s="1" t="s">
        <v>26</v>
      </c>
      <c r="D332" s="1" t="s">
        <v>422</v>
      </c>
      <c r="E332" s="1" t="s">
        <v>28</v>
      </c>
      <c r="F332" s="1" t="s">
        <v>29</v>
      </c>
      <c r="G332" s="1" t="s">
        <v>30</v>
      </c>
      <c r="H332" s="1" t="s">
        <v>153</v>
      </c>
      <c r="I332" s="1">
        <v>8</v>
      </c>
      <c r="J332" s="1" t="s">
        <v>423</v>
      </c>
      <c r="K332" s="1" t="s">
        <v>155</v>
      </c>
      <c r="L332" s="1" t="s">
        <v>34</v>
      </c>
      <c r="M332" s="1" t="s">
        <v>34</v>
      </c>
      <c r="N332" s="5">
        <v>11.21</v>
      </c>
      <c r="O332" s="4">
        <v>9.7899999999999991</v>
      </c>
      <c r="P332" s="5">
        <v>14.263862332695989</v>
      </c>
      <c r="Q332" s="5">
        <v>23.313905079100739</v>
      </c>
      <c r="R332" s="5">
        <v>27.659574468085001</v>
      </c>
      <c r="S332" s="5">
        <v>10.990099009901</v>
      </c>
      <c r="T332" s="3" t="s">
        <v>59</v>
      </c>
      <c r="U332" s="3" t="s">
        <v>59</v>
      </c>
      <c r="V332" s="3" t="s">
        <v>59</v>
      </c>
      <c r="W332" s="3" t="s">
        <v>59</v>
      </c>
      <c r="X332" s="3" t="s">
        <v>59</v>
      </c>
      <c r="Y332" s="3" t="s">
        <v>59</v>
      </c>
    </row>
    <row r="333" spans="1:25" hidden="1" x14ac:dyDescent="0.3">
      <c r="A333">
        <v>292</v>
      </c>
      <c r="B333" t="s">
        <v>421</v>
      </c>
      <c r="C333" t="s">
        <v>26</v>
      </c>
      <c r="D333" t="s">
        <v>422</v>
      </c>
      <c r="E333" t="s">
        <v>28</v>
      </c>
      <c r="F333" t="s">
        <v>29</v>
      </c>
      <c r="G333" t="s">
        <v>30</v>
      </c>
      <c r="H333" t="s">
        <v>153</v>
      </c>
      <c r="I333">
        <v>8</v>
      </c>
      <c r="J333" t="s">
        <v>423</v>
      </c>
      <c r="K333" t="s">
        <v>155</v>
      </c>
      <c r="L333" t="s">
        <v>226</v>
      </c>
      <c r="M333" t="s">
        <v>227</v>
      </c>
      <c r="N333" s="3">
        <v>13.56</v>
      </c>
      <c r="O333" s="3">
        <v>0.17</v>
      </c>
      <c r="P333" s="3" t="s">
        <v>59</v>
      </c>
      <c r="Q333" s="3" t="s">
        <v>59</v>
      </c>
      <c r="R333" s="3">
        <v>32.97</v>
      </c>
      <c r="S333" s="3">
        <v>10.86</v>
      </c>
      <c r="T333" s="3" t="s">
        <v>59</v>
      </c>
      <c r="U333" s="3" t="s">
        <v>59</v>
      </c>
      <c r="V333" s="3" t="s">
        <v>59</v>
      </c>
      <c r="W333" s="3" t="s">
        <v>59</v>
      </c>
      <c r="X333" s="3" t="s">
        <v>59</v>
      </c>
      <c r="Y333" s="3" t="s">
        <v>59</v>
      </c>
    </row>
    <row r="334" spans="1:25" hidden="1" x14ac:dyDescent="0.3">
      <c r="A334">
        <v>292</v>
      </c>
      <c r="B334" t="s">
        <v>421</v>
      </c>
      <c r="C334" t="s">
        <v>26</v>
      </c>
      <c r="D334" t="s">
        <v>422</v>
      </c>
      <c r="E334" t="s">
        <v>28</v>
      </c>
      <c r="F334" t="s">
        <v>29</v>
      </c>
      <c r="G334" t="s">
        <v>30</v>
      </c>
      <c r="H334" t="s">
        <v>153</v>
      </c>
      <c r="I334">
        <v>8</v>
      </c>
      <c r="J334" t="s">
        <v>423</v>
      </c>
      <c r="K334" t="s">
        <v>155</v>
      </c>
      <c r="L334" t="s">
        <v>228</v>
      </c>
      <c r="M334" t="s">
        <v>229</v>
      </c>
      <c r="N334" s="3">
        <v>27.8</v>
      </c>
      <c r="O334" s="3">
        <v>-17.68</v>
      </c>
      <c r="P334" s="3" t="s">
        <v>59</v>
      </c>
      <c r="Q334" s="3" t="s">
        <v>59</v>
      </c>
      <c r="R334" s="3">
        <v>40.229999999999997</v>
      </c>
      <c r="S334" s="3">
        <v>18.54</v>
      </c>
      <c r="T334" s="3" t="s">
        <v>59</v>
      </c>
      <c r="U334" s="3" t="s">
        <v>59</v>
      </c>
      <c r="V334" s="3" t="s">
        <v>59</v>
      </c>
      <c r="W334" s="3" t="s">
        <v>59</v>
      </c>
      <c r="X334" s="3" t="s">
        <v>59</v>
      </c>
      <c r="Y334" s="3" t="s">
        <v>59</v>
      </c>
    </row>
    <row r="335" spans="1:25" hidden="1" x14ac:dyDescent="0.3">
      <c r="A335">
        <v>292</v>
      </c>
      <c r="B335" t="s">
        <v>421</v>
      </c>
      <c r="C335" t="s">
        <v>26</v>
      </c>
      <c r="D335" t="s">
        <v>422</v>
      </c>
      <c r="E335" t="s">
        <v>28</v>
      </c>
      <c r="F335" t="s">
        <v>29</v>
      </c>
      <c r="G335" t="s">
        <v>30</v>
      </c>
      <c r="H335" t="s">
        <v>153</v>
      </c>
      <c r="I335">
        <v>8</v>
      </c>
      <c r="J335" t="s">
        <v>423</v>
      </c>
      <c r="K335" t="s">
        <v>155</v>
      </c>
      <c r="L335" t="s">
        <v>424</v>
      </c>
      <c r="M335" t="s">
        <v>425</v>
      </c>
      <c r="N335" s="3">
        <v>-12.08</v>
      </c>
      <c r="O335" s="3">
        <v>126.45</v>
      </c>
      <c r="P335" s="3" t="s">
        <v>59</v>
      </c>
      <c r="Q335" s="3" t="s">
        <v>59</v>
      </c>
      <c r="R335" s="3">
        <v>-12.93</v>
      </c>
      <c r="S335" s="3">
        <v>-2.0099999999999998</v>
      </c>
      <c r="T335" s="3" t="s">
        <v>59</v>
      </c>
      <c r="U335" s="3" t="s">
        <v>59</v>
      </c>
      <c r="V335" s="3" t="s">
        <v>59</v>
      </c>
      <c r="W335" s="3" t="s">
        <v>59</v>
      </c>
      <c r="X335" s="3" t="s">
        <v>59</v>
      </c>
      <c r="Y335" s="3" t="s">
        <v>59</v>
      </c>
    </row>
    <row r="336" spans="1:25" hidden="1" x14ac:dyDescent="0.3">
      <c r="A336" s="1">
        <v>294</v>
      </c>
      <c r="B336" s="1" t="s">
        <v>426</v>
      </c>
      <c r="C336" s="1" t="s">
        <v>26</v>
      </c>
      <c r="D336" s="1" t="s">
        <v>422</v>
      </c>
      <c r="E336" s="1" t="s">
        <v>28</v>
      </c>
      <c r="F336" s="1" t="s">
        <v>29</v>
      </c>
      <c r="G336" s="1" t="s">
        <v>30</v>
      </c>
      <c r="H336" s="1" t="s">
        <v>153</v>
      </c>
      <c r="I336" s="1">
        <v>8</v>
      </c>
      <c r="J336" s="1" t="s">
        <v>427</v>
      </c>
      <c r="K336" s="1" t="s">
        <v>155</v>
      </c>
      <c r="L336" s="1" t="s">
        <v>34</v>
      </c>
      <c r="M336" s="1" t="s">
        <v>34</v>
      </c>
      <c r="N336" s="5">
        <v>54.02</v>
      </c>
      <c r="O336" s="7">
        <v>-9.19</v>
      </c>
      <c r="P336" s="5">
        <v>5.5</v>
      </c>
      <c r="Q336" s="5">
        <v>26.27669452181987</v>
      </c>
      <c r="R336" s="5">
        <v>41.986754966886998</v>
      </c>
      <c r="S336" s="5">
        <v>30.158730158729998</v>
      </c>
      <c r="T336" s="3" t="s">
        <v>59</v>
      </c>
      <c r="U336" s="3" t="s">
        <v>59</v>
      </c>
      <c r="V336" s="3" t="s">
        <v>59</v>
      </c>
      <c r="W336" s="3" t="s">
        <v>59</v>
      </c>
      <c r="X336" s="3" t="s">
        <v>59</v>
      </c>
      <c r="Y336" s="3" t="s">
        <v>59</v>
      </c>
    </row>
    <row r="337" spans="1:25" hidden="1" x14ac:dyDescent="0.3">
      <c r="A337">
        <v>294</v>
      </c>
      <c r="B337" t="s">
        <v>426</v>
      </c>
      <c r="C337" t="s">
        <v>26</v>
      </c>
      <c r="D337" t="s">
        <v>422</v>
      </c>
      <c r="E337" t="s">
        <v>28</v>
      </c>
      <c r="F337" t="s">
        <v>29</v>
      </c>
      <c r="G337" t="s">
        <v>30</v>
      </c>
      <c r="H337" t="s">
        <v>153</v>
      </c>
      <c r="I337">
        <v>8</v>
      </c>
      <c r="J337" t="s">
        <v>427</v>
      </c>
      <c r="K337" t="s">
        <v>155</v>
      </c>
      <c r="L337" t="s">
        <v>226</v>
      </c>
      <c r="M337" t="s">
        <v>227</v>
      </c>
      <c r="N337" s="3">
        <v>62.72</v>
      </c>
      <c r="O337" s="3">
        <v>-0.82</v>
      </c>
      <c r="P337" s="3" t="s">
        <v>59</v>
      </c>
      <c r="Q337" s="3" t="s">
        <v>59</v>
      </c>
      <c r="R337" s="3">
        <v>39.29</v>
      </c>
      <c r="S337" s="3">
        <v>37.159999999999997</v>
      </c>
      <c r="T337" s="3" t="s">
        <v>59</v>
      </c>
      <c r="U337" s="3" t="s">
        <v>59</v>
      </c>
      <c r="V337" s="3" t="s">
        <v>59</v>
      </c>
      <c r="W337" s="3" t="s">
        <v>59</v>
      </c>
      <c r="X337" s="3" t="s">
        <v>59</v>
      </c>
      <c r="Y337" s="3" t="s">
        <v>59</v>
      </c>
    </row>
    <row r="338" spans="1:25" hidden="1" x14ac:dyDescent="0.3">
      <c r="A338">
        <v>294</v>
      </c>
      <c r="B338" t="s">
        <v>426</v>
      </c>
      <c r="C338" t="s">
        <v>26</v>
      </c>
      <c r="D338" t="s">
        <v>422</v>
      </c>
      <c r="E338" t="s">
        <v>28</v>
      </c>
      <c r="F338" t="s">
        <v>29</v>
      </c>
      <c r="G338" t="s">
        <v>30</v>
      </c>
      <c r="H338" t="s">
        <v>153</v>
      </c>
      <c r="I338">
        <v>8</v>
      </c>
      <c r="J338" t="s">
        <v>427</v>
      </c>
      <c r="K338" t="s">
        <v>155</v>
      </c>
      <c r="L338" t="s">
        <v>228</v>
      </c>
      <c r="M338" t="s">
        <v>229</v>
      </c>
      <c r="N338" s="3">
        <v>57.56</v>
      </c>
      <c r="O338" s="3">
        <v>-17.36</v>
      </c>
      <c r="P338" s="3" t="s">
        <v>59</v>
      </c>
      <c r="Q338" s="3" t="s">
        <v>59</v>
      </c>
      <c r="R338" s="3">
        <v>35.83</v>
      </c>
      <c r="S338" s="3">
        <v>5.83</v>
      </c>
      <c r="T338" s="3" t="s">
        <v>59</v>
      </c>
      <c r="U338" s="3" t="s">
        <v>59</v>
      </c>
      <c r="V338" s="3" t="s">
        <v>59</v>
      </c>
      <c r="W338" s="3" t="s">
        <v>59</v>
      </c>
      <c r="X338" s="3" t="s">
        <v>59</v>
      </c>
      <c r="Y338" s="3" t="s">
        <v>59</v>
      </c>
    </row>
    <row r="339" spans="1:25" hidden="1" x14ac:dyDescent="0.3">
      <c r="A339">
        <v>294</v>
      </c>
      <c r="B339" t="s">
        <v>426</v>
      </c>
      <c r="C339" t="s">
        <v>26</v>
      </c>
      <c r="D339" t="s">
        <v>422</v>
      </c>
      <c r="E339" t="s">
        <v>28</v>
      </c>
      <c r="F339" t="s">
        <v>29</v>
      </c>
      <c r="G339" t="s">
        <v>30</v>
      </c>
      <c r="H339" t="s">
        <v>153</v>
      </c>
      <c r="I339">
        <v>8</v>
      </c>
      <c r="J339" t="s">
        <v>427</v>
      </c>
      <c r="K339" t="s">
        <v>155</v>
      </c>
      <c r="L339" t="s">
        <v>424</v>
      </c>
      <c r="M339" t="s">
        <v>425</v>
      </c>
      <c r="N339" s="3">
        <v>10.199999999999999</v>
      </c>
      <c r="O339" s="3">
        <v>-22.99</v>
      </c>
      <c r="P339" s="3">
        <v>-0.68</v>
      </c>
      <c r="Q339" s="3" t="s">
        <v>59</v>
      </c>
      <c r="R339" s="3">
        <v>76.19</v>
      </c>
      <c r="S339" s="3">
        <v>91.36</v>
      </c>
      <c r="T339" s="3" t="s">
        <v>59</v>
      </c>
      <c r="U339" s="3" t="s">
        <v>59</v>
      </c>
      <c r="V339" s="3" t="s">
        <v>59</v>
      </c>
      <c r="W339" s="3" t="s">
        <v>59</v>
      </c>
      <c r="X339" s="3" t="s">
        <v>59</v>
      </c>
      <c r="Y339" s="3" t="s">
        <v>59</v>
      </c>
    </row>
    <row r="340" spans="1:25" hidden="1" x14ac:dyDescent="0.3">
      <c r="A340" s="1">
        <v>302</v>
      </c>
      <c r="B340" s="1" t="s">
        <v>433</v>
      </c>
      <c r="C340" s="1" t="s">
        <v>26</v>
      </c>
      <c r="D340" s="1" t="s">
        <v>336</v>
      </c>
      <c r="E340" s="1" t="s">
        <v>116</v>
      </c>
      <c r="F340" s="1" t="s">
        <v>29</v>
      </c>
      <c r="G340" s="1" t="s">
        <v>30</v>
      </c>
      <c r="H340" s="1" t="s">
        <v>153</v>
      </c>
      <c r="I340" s="1" t="s">
        <v>117</v>
      </c>
      <c r="J340" s="1" t="s">
        <v>434</v>
      </c>
      <c r="K340" s="1" t="s">
        <v>223</v>
      </c>
      <c r="L340" s="1" t="s">
        <v>34</v>
      </c>
      <c r="M340" s="1" t="s">
        <v>34</v>
      </c>
      <c r="N340" s="8">
        <v>31371</v>
      </c>
      <c r="O340" s="8">
        <v>21712</v>
      </c>
      <c r="P340" s="8">
        <v>19142</v>
      </c>
      <c r="Q340" s="8">
        <v>17878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</row>
    <row r="341" spans="1:25" hidden="1" x14ac:dyDescent="0.3">
      <c r="A341">
        <v>302</v>
      </c>
      <c r="B341" t="s">
        <v>433</v>
      </c>
      <c r="C341" t="s">
        <v>26</v>
      </c>
      <c r="D341" t="s">
        <v>336</v>
      </c>
      <c r="E341" t="s">
        <v>116</v>
      </c>
      <c r="F341" t="s">
        <v>29</v>
      </c>
      <c r="G341" t="s">
        <v>30</v>
      </c>
      <c r="H341" t="s">
        <v>153</v>
      </c>
      <c r="I341" t="s">
        <v>117</v>
      </c>
      <c r="J341" t="s">
        <v>434</v>
      </c>
      <c r="K341" t="s">
        <v>223</v>
      </c>
      <c r="L341" t="s">
        <v>435</v>
      </c>
      <c r="M341" t="s">
        <v>436</v>
      </c>
      <c r="N341" s="3">
        <v>29088</v>
      </c>
      <c r="O341" s="3">
        <v>19569</v>
      </c>
      <c r="P341" s="3">
        <v>17199</v>
      </c>
      <c r="Q341" s="3">
        <v>16507</v>
      </c>
      <c r="R341" s="3" t="s">
        <v>59</v>
      </c>
      <c r="S341" s="3" t="s">
        <v>59</v>
      </c>
      <c r="T341" s="3" t="s">
        <v>59</v>
      </c>
      <c r="U341" s="3" t="s">
        <v>59</v>
      </c>
      <c r="V341" s="3" t="s">
        <v>59</v>
      </c>
      <c r="W341" s="3" t="s">
        <v>59</v>
      </c>
      <c r="X341" s="3" t="s">
        <v>59</v>
      </c>
      <c r="Y341" s="3" t="s">
        <v>59</v>
      </c>
    </row>
    <row r="342" spans="1:25" hidden="1" x14ac:dyDescent="0.3">
      <c r="A342">
        <v>302</v>
      </c>
      <c r="B342" t="s">
        <v>433</v>
      </c>
      <c r="C342" t="s">
        <v>26</v>
      </c>
      <c r="D342" t="s">
        <v>336</v>
      </c>
      <c r="E342" t="s">
        <v>116</v>
      </c>
      <c r="F342" t="s">
        <v>29</v>
      </c>
      <c r="G342" t="s">
        <v>30</v>
      </c>
      <c r="H342" t="s">
        <v>153</v>
      </c>
      <c r="I342" t="s">
        <v>117</v>
      </c>
      <c r="J342" t="s">
        <v>434</v>
      </c>
      <c r="K342" t="s">
        <v>223</v>
      </c>
      <c r="L342" t="s">
        <v>437</v>
      </c>
      <c r="M342" t="s">
        <v>438</v>
      </c>
      <c r="N342" s="3">
        <v>796</v>
      </c>
      <c r="O342" s="3">
        <v>778</v>
      </c>
      <c r="P342" s="3">
        <v>660</v>
      </c>
      <c r="Q342" s="3">
        <v>448</v>
      </c>
      <c r="R342" s="3" t="s">
        <v>59</v>
      </c>
      <c r="S342" s="3" t="s">
        <v>59</v>
      </c>
      <c r="T342" s="3" t="s">
        <v>59</v>
      </c>
      <c r="U342" s="3" t="s">
        <v>59</v>
      </c>
      <c r="V342" s="3" t="s">
        <v>59</v>
      </c>
      <c r="W342" s="3" t="s">
        <v>59</v>
      </c>
      <c r="X342" s="3" t="s">
        <v>59</v>
      </c>
      <c r="Y342" s="3" t="s">
        <v>59</v>
      </c>
    </row>
    <row r="343" spans="1:25" hidden="1" x14ac:dyDescent="0.3">
      <c r="A343">
        <v>302</v>
      </c>
      <c r="B343" t="s">
        <v>433</v>
      </c>
      <c r="C343" t="s">
        <v>26</v>
      </c>
      <c r="D343" t="s">
        <v>336</v>
      </c>
      <c r="E343" t="s">
        <v>116</v>
      </c>
      <c r="F343" t="s">
        <v>29</v>
      </c>
      <c r="G343" t="s">
        <v>30</v>
      </c>
      <c r="H343" t="s">
        <v>153</v>
      </c>
      <c r="I343" t="s">
        <v>117</v>
      </c>
      <c r="J343" t="s">
        <v>434</v>
      </c>
      <c r="K343" t="s">
        <v>223</v>
      </c>
      <c r="L343" t="s">
        <v>439</v>
      </c>
      <c r="M343" t="s">
        <v>440</v>
      </c>
      <c r="N343" s="3">
        <v>1024</v>
      </c>
      <c r="O343" s="3">
        <v>997</v>
      </c>
      <c r="P343" s="3">
        <v>952</v>
      </c>
      <c r="Q343" s="3">
        <v>700</v>
      </c>
      <c r="R343" s="3" t="s">
        <v>59</v>
      </c>
      <c r="S343" s="3" t="s">
        <v>59</v>
      </c>
      <c r="T343" s="3" t="s">
        <v>59</v>
      </c>
      <c r="U343" s="3" t="s">
        <v>59</v>
      </c>
      <c r="V343" s="3" t="s">
        <v>59</v>
      </c>
      <c r="W343" s="3" t="s">
        <v>59</v>
      </c>
      <c r="X343" s="3" t="s">
        <v>59</v>
      </c>
      <c r="Y343" s="3" t="s">
        <v>59</v>
      </c>
    </row>
    <row r="344" spans="1:25" hidden="1" x14ac:dyDescent="0.3">
      <c r="A344">
        <v>302</v>
      </c>
      <c r="B344" t="s">
        <v>433</v>
      </c>
      <c r="C344" t="s">
        <v>26</v>
      </c>
      <c r="D344" t="s">
        <v>336</v>
      </c>
      <c r="E344" t="s">
        <v>116</v>
      </c>
      <c r="F344" t="s">
        <v>29</v>
      </c>
      <c r="G344" t="s">
        <v>30</v>
      </c>
      <c r="H344" t="s">
        <v>153</v>
      </c>
      <c r="I344" t="s">
        <v>117</v>
      </c>
      <c r="J344" t="s">
        <v>434</v>
      </c>
      <c r="K344" t="s">
        <v>223</v>
      </c>
      <c r="L344" t="s">
        <v>441</v>
      </c>
      <c r="M344" t="s">
        <v>442</v>
      </c>
      <c r="N344" s="3">
        <v>463</v>
      </c>
      <c r="O344" s="3">
        <v>368</v>
      </c>
      <c r="P344" s="3">
        <v>331</v>
      </c>
      <c r="Q344" s="3">
        <v>223</v>
      </c>
      <c r="R344" s="3" t="s">
        <v>59</v>
      </c>
      <c r="S344" s="3" t="s">
        <v>59</v>
      </c>
      <c r="T344" s="3" t="s">
        <v>59</v>
      </c>
      <c r="U344" s="3" t="s">
        <v>59</v>
      </c>
      <c r="V344" s="3" t="s">
        <v>59</v>
      </c>
      <c r="W344" s="3" t="s">
        <v>59</v>
      </c>
      <c r="X344" s="3" t="s">
        <v>59</v>
      </c>
      <c r="Y344" s="3" t="s">
        <v>59</v>
      </c>
    </row>
    <row r="345" spans="1:25" hidden="1" x14ac:dyDescent="0.3">
      <c r="A345" s="1">
        <v>303</v>
      </c>
      <c r="B345" s="1" t="s">
        <v>443</v>
      </c>
      <c r="C345" s="1" t="s">
        <v>26</v>
      </c>
      <c r="D345" s="1" t="s">
        <v>444</v>
      </c>
      <c r="E345" s="1" t="s">
        <v>28</v>
      </c>
      <c r="F345" s="1" t="s">
        <v>29</v>
      </c>
      <c r="G345" s="1" t="s">
        <v>30</v>
      </c>
      <c r="H345" s="1" t="s">
        <v>153</v>
      </c>
      <c r="I345" s="1">
        <v>95</v>
      </c>
      <c r="J345" s="1" t="s">
        <v>445</v>
      </c>
      <c r="K345" s="1" t="s">
        <v>155</v>
      </c>
      <c r="L345" s="1" t="s">
        <v>34</v>
      </c>
      <c r="M345" s="1" t="s">
        <v>34</v>
      </c>
      <c r="N345" s="4">
        <v>100</v>
      </c>
      <c r="O345" s="6">
        <v>90.32</v>
      </c>
      <c r="P345" s="4">
        <v>95.652173913043484</v>
      </c>
      <c r="Q345" s="4">
        <v>100</v>
      </c>
      <c r="R345" s="7">
        <v>79.545454545454547</v>
      </c>
      <c r="S345" s="7">
        <v>75.757575757576006</v>
      </c>
      <c r="T345" s="3" t="s">
        <v>59</v>
      </c>
      <c r="U345" s="3" t="s">
        <v>59</v>
      </c>
      <c r="V345" s="3"/>
      <c r="W345" s="3" t="s">
        <v>59</v>
      </c>
      <c r="X345" s="3" t="s">
        <v>59</v>
      </c>
      <c r="Y345" s="3" t="s">
        <v>59</v>
      </c>
    </row>
    <row r="346" spans="1:25" hidden="1" x14ac:dyDescent="0.3">
      <c r="A346">
        <v>303</v>
      </c>
      <c r="B346" t="s">
        <v>443</v>
      </c>
      <c r="C346" t="s">
        <v>26</v>
      </c>
      <c r="D346" t="s">
        <v>444</v>
      </c>
      <c r="E346" t="s">
        <v>28</v>
      </c>
      <c r="F346" t="s">
        <v>29</v>
      </c>
      <c r="G346" t="s">
        <v>30</v>
      </c>
      <c r="H346" t="s">
        <v>153</v>
      </c>
      <c r="I346">
        <v>95</v>
      </c>
      <c r="J346" t="s">
        <v>445</v>
      </c>
      <c r="K346" t="s">
        <v>155</v>
      </c>
      <c r="L346" t="s">
        <v>226</v>
      </c>
      <c r="M346" t="s">
        <v>227</v>
      </c>
      <c r="N346" s="3">
        <v>100</v>
      </c>
      <c r="O346" s="3">
        <v>82.35</v>
      </c>
      <c r="P346" s="3" t="s">
        <v>59</v>
      </c>
      <c r="Q346" s="3">
        <v>100</v>
      </c>
      <c r="R346" s="3" t="s">
        <v>59</v>
      </c>
      <c r="S346" s="3">
        <v>71.430000000000007</v>
      </c>
      <c r="T346" s="3" t="s">
        <v>59</v>
      </c>
      <c r="U346" s="3" t="s">
        <v>59</v>
      </c>
      <c r="V346" s="3" t="s">
        <v>59</v>
      </c>
      <c r="W346" s="3" t="s">
        <v>59</v>
      </c>
      <c r="X346" s="3" t="s">
        <v>59</v>
      </c>
      <c r="Y346" s="3" t="s">
        <v>59</v>
      </c>
    </row>
    <row r="347" spans="1:25" hidden="1" x14ac:dyDescent="0.3">
      <c r="A347">
        <v>303</v>
      </c>
      <c r="B347" t="s">
        <v>443</v>
      </c>
      <c r="C347" t="s">
        <v>26</v>
      </c>
      <c r="D347" t="s">
        <v>444</v>
      </c>
      <c r="E347" t="s">
        <v>28</v>
      </c>
      <c r="F347" t="s">
        <v>29</v>
      </c>
      <c r="G347" t="s">
        <v>30</v>
      </c>
      <c r="H347" t="s">
        <v>153</v>
      </c>
      <c r="I347">
        <v>95</v>
      </c>
      <c r="J347" t="s">
        <v>445</v>
      </c>
      <c r="K347" t="s">
        <v>155</v>
      </c>
      <c r="L347" t="s">
        <v>228</v>
      </c>
      <c r="M347" t="s">
        <v>229</v>
      </c>
      <c r="N347" s="3">
        <v>100</v>
      </c>
      <c r="O347" s="3">
        <v>100</v>
      </c>
      <c r="P347" s="3" t="s">
        <v>59</v>
      </c>
      <c r="Q347" s="3" t="s">
        <v>59</v>
      </c>
      <c r="R347" s="3" t="s">
        <v>59</v>
      </c>
      <c r="S347" s="3">
        <v>71.430000000000007</v>
      </c>
      <c r="T347" s="3" t="s">
        <v>59</v>
      </c>
      <c r="U347" s="3" t="s">
        <v>59</v>
      </c>
      <c r="V347" s="3" t="s">
        <v>59</v>
      </c>
      <c r="W347" s="3" t="s">
        <v>59</v>
      </c>
      <c r="X347" s="3" t="s">
        <v>59</v>
      </c>
      <c r="Y347" s="3" t="s">
        <v>59</v>
      </c>
    </row>
    <row r="348" spans="1:25" hidden="1" x14ac:dyDescent="0.3">
      <c r="A348">
        <v>303</v>
      </c>
      <c r="B348" t="s">
        <v>443</v>
      </c>
      <c r="C348" t="s">
        <v>26</v>
      </c>
      <c r="D348" t="s">
        <v>444</v>
      </c>
      <c r="E348" t="s">
        <v>28</v>
      </c>
      <c r="F348" t="s">
        <v>29</v>
      </c>
      <c r="G348" t="s">
        <v>30</v>
      </c>
      <c r="H348" t="s">
        <v>153</v>
      </c>
      <c r="I348">
        <v>95</v>
      </c>
      <c r="J348" t="s">
        <v>445</v>
      </c>
      <c r="K348" t="s">
        <v>155</v>
      </c>
      <c r="L348" t="s">
        <v>424</v>
      </c>
      <c r="M348" t="s">
        <v>425</v>
      </c>
      <c r="N348" s="3">
        <v>100</v>
      </c>
      <c r="O348" s="3" t="s">
        <v>59</v>
      </c>
      <c r="P348" s="3" t="s">
        <v>59</v>
      </c>
      <c r="Q348" s="3" t="s">
        <v>59</v>
      </c>
      <c r="R348" s="3" t="s">
        <v>59</v>
      </c>
      <c r="S348" s="3">
        <v>100</v>
      </c>
      <c r="T348" s="3" t="s">
        <v>59</v>
      </c>
      <c r="U348" s="3" t="s">
        <v>59</v>
      </c>
      <c r="V348" s="3" t="s">
        <v>59</v>
      </c>
      <c r="W348" s="3" t="s">
        <v>59</v>
      </c>
      <c r="X348" s="3" t="s">
        <v>59</v>
      </c>
      <c r="Y348" s="3" t="s">
        <v>59</v>
      </c>
    </row>
    <row r="349" spans="1:25" hidden="1" x14ac:dyDescent="0.3">
      <c r="A349" s="1">
        <v>304</v>
      </c>
      <c r="B349" s="1" t="s">
        <v>446</v>
      </c>
      <c r="C349" s="1" t="s">
        <v>26</v>
      </c>
      <c r="D349" s="1" t="s">
        <v>444</v>
      </c>
      <c r="E349" s="1" t="s">
        <v>28</v>
      </c>
      <c r="F349" s="1" t="s">
        <v>29</v>
      </c>
      <c r="G349" s="1" t="s">
        <v>30</v>
      </c>
      <c r="H349" s="1" t="s">
        <v>31</v>
      </c>
      <c r="I349" s="1">
        <v>100</v>
      </c>
      <c r="J349" s="1" t="s">
        <v>447</v>
      </c>
      <c r="K349" s="1" t="s">
        <v>33</v>
      </c>
      <c r="L349" s="1" t="s">
        <v>33</v>
      </c>
      <c r="M349" s="1" t="s">
        <v>34</v>
      </c>
      <c r="N349" s="5">
        <v>116.09</v>
      </c>
      <c r="O349" s="6">
        <v>98.47</v>
      </c>
      <c r="P349" s="6">
        <v>83.56</v>
      </c>
      <c r="Q349" s="4">
        <v>100.12</v>
      </c>
      <c r="R349" s="5">
        <v>176.33</v>
      </c>
      <c r="S349" s="5">
        <v>189.86</v>
      </c>
      <c r="T349" s="3"/>
      <c r="U349" s="3"/>
      <c r="V349" s="3"/>
      <c r="W349" s="3"/>
      <c r="X349" s="3"/>
      <c r="Y349" s="3"/>
    </row>
    <row r="350" spans="1:25" hidden="1" x14ac:dyDescent="0.3">
      <c r="A350" s="1">
        <v>323</v>
      </c>
      <c r="B350" s="1" t="s">
        <v>464</v>
      </c>
      <c r="C350" s="1" t="s">
        <v>47</v>
      </c>
      <c r="D350" s="1" t="s">
        <v>465</v>
      </c>
      <c r="E350" s="1" t="s">
        <v>28</v>
      </c>
      <c r="F350" s="1" t="s">
        <v>29</v>
      </c>
      <c r="G350" s="1" t="s">
        <v>30</v>
      </c>
      <c r="H350" s="1" t="s">
        <v>31</v>
      </c>
      <c r="I350" s="1">
        <v>100</v>
      </c>
      <c r="J350" s="1" t="s">
        <v>466</v>
      </c>
      <c r="K350" s="1" t="s">
        <v>33</v>
      </c>
      <c r="L350" s="1" t="s">
        <v>33</v>
      </c>
      <c r="M350" s="1" t="s">
        <v>34</v>
      </c>
      <c r="N350" s="4">
        <v>100</v>
      </c>
      <c r="O350" s="4">
        <v>100</v>
      </c>
      <c r="P350" s="3" t="s">
        <v>59</v>
      </c>
      <c r="Q350" s="4">
        <v>100</v>
      </c>
      <c r="R350" s="4">
        <v>100</v>
      </c>
      <c r="S350" s="4">
        <v>100</v>
      </c>
      <c r="T350" s="3"/>
      <c r="U350" s="3"/>
      <c r="V350" s="3"/>
      <c r="W350" s="3"/>
      <c r="X350" s="3"/>
      <c r="Y350" s="3"/>
    </row>
    <row r="351" spans="1:25" hidden="1" x14ac:dyDescent="0.3">
      <c r="A351" s="1">
        <v>324</v>
      </c>
      <c r="B351" s="1" t="s">
        <v>467</v>
      </c>
      <c r="C351" s="1" t="s">
        <v>47</v>
      </c>
      <c r="D351" s="1" t="s">
        <v>465</v>
      </c>
      <c r="E351" s="1" t="s">
        <v>28</v>
      </c>
      <c r="F351" s="1" t="s">
        <v>29</v>
      </c>
      <c r="G351" s="1" t="s">
        <v>30</v>
      </c>
      <c r="H351" s="1" t="s">
        <v>31</v>
      </c>
      <c r="I351" s="1">
        <v>100</v>
      </c>
      <c r="J351" s="1" t="s">
        <v>468</v>
      </c>
      <c r="K351" s="1" t="s">
        <v>33</v>
      </c>
      <c r="L351" s="1" t="s">
        <v>33</v>
      </c>
      <c r="M351" s="1" t="s">
        <v>34</v>
      </c>
      <c r="N351" s="5">
        <v>200</v>
      </c>
      <c r="O351" s="4">
        <v>100</v>
      </c>
      <c r="P351" s="4">
        <v>100</v>
      </c>
      <c r="Q351" s="3" t="s">
        <v>59</v>
      </c>
      <c r="R351" s="4">
        <v>100</v>
      </c>
      <c r="S351" s="3" t="s">
        <v>59</v>
      </c>
      <c r="T351" s="3"/>
      <c r="U351" s="3"/>
      <c r="V351" s="3"/>
      <c r="W351" s="3"/>
      <c r="X351" s="3"/>
      <c r="Y351" s="3"/>
    </row>
    <row r="352" spans="1:25" hidden="1" x14ac:dyDescent="0.3">
      <c r="A352" s="1">
        <v>325</v>
      </c>
      <c r="B352" s="1" t="s">
        <v>469</v>
      </c>
      <c r="C352" s="1" t="s">
        <v>47</v>
      </c>
      <c r="D352" s="1" t="s">
        <v>465</v>
      </c>
      <c r="E352" s="1" t="s">
        <v>116</v>
      </c>
      <c r="F352" s="1" t="s">
        <v>29</v>
      </c>
      <c r="G352" s="1" t="s">
        <v>30</v>
      </c>
      <c r="H352" s="1" t="s">
        <v>31</v>
      </c>
      <c r="I352" s="1" t="s">
        <v>117</v>
      </c>
      <c r="J352" s="1" t="s">
        <v>470</v>
      </c>
      <c r="K352" s="1" t="s">
        <v>33</v>
      </c>
      <c r="L352" s="1" t="s">
        <v>33</v>
      </c>
      <c r="M352" s="1" t="s">
        <v>34</v>
      </c>
      <c r="N352" s="8">
        <v>100</v>
      </c>
      <c r="O352" s="8">
        <v>100</v>
      </c>
      <c r="P352" s="8">
        <v>100</v>
      </c>
      <c r="Q352" s="8">
        <v>100</v>
      </c>
      <c r="R352" s="3" t="s">
        <v>59</v>
      </c>
      <c r="S352" s="8">
        <v>100</v>
      </c>
      <c r="T352" s="3"/>
      <c r="U352" s="3"/>
      <c r="V352" s="3"/>
      <c r="W352" s="3"/>
      <c r="X352" s="3"/>
      <c r="Y352" s="3"/>
    </row>
    <row r="353" spans="1:25" hidden="1" x14ac:dyDescent="0.3">
      <c r="A353" s="1">
        <v>327</v>
      </c>
      <c r="B353" s="1" t="s">
        <v>473</v>
      </c>
      <c r="C353" s="1" t="s">
        <v>47</v>
      </c>
      <c r="D353" s="1" t="s">
        <v>347</v>
      </c>
      <c r="E353" s="1" t="s">
        <v>116</v>
      </c>
      <c r="F353" s="1" t="s">
        <v>29</v>
      </c>
      <c r="G353" s="1" t="s">
        <v>30</v>
      </c>
      <c r="H353" s="1" t="s">
        <v>31</v>
      </c>
      <c r="I353" s="1" t="s">
        <v>117</v>
      </c>
      <c r="J353" s="1" t="s">
        <v>474</v>
      </c>
      <c r="K353" s="1" t="s">
        <v>33</v>
      </c>
      <c r="L353" s="1" t="s">
        <v>33</v>
      </c>
      <c r="M353" s="1" t="s">
        <v>34</v>
      </c>
      <c r="N353" s="8">
        <v>100</v>
      </c>
      <c r="O353" s="8">
        <v>100</v>
      </c>
      <c r="P353" s="3" t="s">
        <v>59</v>
      </c>
      <c r="Q353" s="3" t="s">
        <v>59</v>
      </c>
      <c r="R353" s="8">
        <v>100</v>
      </c>
      <c r="S353" s="3" t="s">
        <v>59</v>
      </c>
      <c r="T353" s="3"/>
      <c r="U353" s="3"/>
      <c r="V353" s="3"/>
      <c r="W353" s="3"/>
      <c r="X353" s="3"/>
      <c r="Y353" s="3"/>
    </row>
    <row r="354" spans="1:25" hidden="1" x14ac:dyDescent="0.3">
      <c r="A354" s="1">
        <v>332</v>
      </c>
      <c r="B354" s="1" t="s">
        <v>475</v>
      </c>
      <c r="C354" s="1" t="s">
        <v>47</v>
      </c>
      <c r="D354" s="1" t="s">
        <v>39</v>
      </c>
      <c r="E354" s="1" t="s">
        <v>28</v>
      </c>
      <c r="F354" s="1" t="s">
        <v>29</v>
      </c>
      <c r="G354" s="1" t="s">
        <v>41</v>
      </c>
      <c r="H354" s="1" t="s">
        <v>31</v>
      </c>
      <c r="I354" s="1">
        <v>1.18</v>
      </c>
      <c r="J354" s="1" t="s">
        <v>476</v>
      </c>
      <c r="K354" s="1" t="s">
        <v>33</v>
      </c>
      <c r="L354" s="1" t="s">
        <v>33</v>
      </c>
      <c r="M354" s="1" t="s">
        <v>34</v>
      </c>
      <c r="N354" s="5">
        <v>0.93</v>
      </c>
      <c r="O354" s="5">
        <v>0.85</v>
      </c>
      <c r="P354" s="5">
        <v>0.82</v>
      </c>
      <c r="Q354" s="4">
        <v>1.48</v>
      </c>
      <c r="R354" s="5">
        <v>1.3</v>
      </c>
      <c r="S354" s="5">
        <v>1.57</v>
      </c>
      <c r="T354" s="3"/>
      <c r="U354" s="3"/>
      <c r="V354" s="3"/>
      <c r="W354" s="3"/>
      <c r="X354" s="3"/>
      <c r="Y354" s="3"/>
    </row>
    <row r="355" spans="1:25" hidden="1" x14ac:dyDescent="0.3">
      <c r="A355" s="1">
        <v>337</v>
      </c>
      <c r="B355" s="1" t="s">
        <v>481</v>
      </c>
      <c r="C355" s="1" t="s">
        <v>47</v>
      </c>
      <c r="D355" s="1" t="s">
        <v>347</v>
      </c>
      <c r="E355" s="1" t="s">
        <v>44</v>
      </c>
      <c r="F355" s="1" t="s">
        <v>29</v>
      </c>
      <c r="G355" s="1" t="s">
        <v>30</v>
      </c>
      <c r="H355" s="1" t="s">
        <v>31</v>
      </c>
      <c r="I355" s="1" t="s">
        <v>117</v>
      </c>
      <c r="J355" s="1" t="s">
        <v>482</v>
      </c>
      <c r="K355" s="1" t="s">
        <v>33</v>
      </c>
      <c r="L355" s="1" t="s">
        <v>33</v>
      </c>
      <c r="M355" s="1" t="s">
        <v>34</v>
      </c>
      <c r="N355" s="3" t="s">
        <v>59</v>
      </c>
      <c r="O355" s="3" t="s">
        <v>59</v>
      </c>
      <c r="P355" s="3" t="s">
        <v>59</v>
      </c>
      <c r="Q355" s="8">
        <v>100</v>
      </c>
      <c r="R355" s="8">
        <v>100</v>
      </c>
      <c r="S355" s="3" t="s">
        <v>59</v>
      </c>
      <c r="T355" s="3"/>
      <c r="U355" s="3"/>
      <c r="V355" s="3"/>
      <c r="W355" s="3"/>
      <c r="X355" s="3"/>
      <c r="Y355" s="3"/>
    </row>
    <row r="356" spans="1:25" hidden="1" x14ac:dyDescent="0.3">
      <c r="A356" s="1">
        <v>338</v>
      </c>
      <c r="B356" s="1" t="s">
        <v>483</v>
      </c>
      <c r="C356" s="1" t="s">
        <v>47</v>
      </c>
      <c r="D356" s="1" t="s">
        <v>347</v>
      </c>
      <c r="E356" s="1" t="s">
        <v>28</v>
      </c>
      <c r="F356" s="1" t="s">
        <v>29</v>
      </c>
      <c r="G356" s="1" t="s">
        <v>30</v>
      </c>
      <c r="H356" s="1" t="s">
        <v>31</v>
      </c>
      <c r="I356" s="1" t="s">
        <v>117</v>
      </c>
      <c r="J356" s="1" t="s">
        <v>484</v>
      </c>
      <c r="K356" s="1" t="s">
        <v>33</v>
      </c>
      <c r="L356" s="1" t="s">
        <v>33</v>
      </c>
      <c r="M356" s="1" t="s">
        <v>34</v>
      </c>
      <c r="N356" s="8">
        <v>100</v>
      </c>
      <c r="O356" s="8">
        <v>100</v>
      </c>
      <c r="P356" s="3" t="s">
        <v>59</v>
      </c>
      <c r="Q356" s="8">
        <v>100</v>
      </c>
      <c r="R356" s="3" t="s">
        <v>59</v>
      </c>
      <c r="S356" s="8">
        <v>100</v>
      </c>
      <c r="T356" s="3"/>
      <c r="U356" s="3"/>
      <c r="V356" s="3"/>
      <c r="W356" s="3"/>
      <c r="X356" s="3"/>
      <c r="Y356" s="3"/>
    </row>
    <row r="357" spans="1:25" hidden="1" x14ac:dyDescent="0.3">
      <c r="A357" s="1">
        <v>341</v>
      </c>
      <c r="B357" s="1" t="s">
        <v>488</v>
      </c>
      <c r="C357" s="1" t="s">
        <v>47</v>
      </c>
      <c r="D357" s="1" t="s">
        <v>27</v>
      </c>
      <c r="E357" s="1" t="s">
        <v>40</v>
      </c>
      <c r="F357" s="1" t="s">
        <v>29</v>
      </c>
      <c r="G357" s="1" t="s">
        <v>30</v>
      </c>
      <c r="H357" s="1" t="s">
        <v>31</v>
      </c>
      <c r="I357" s="1">
        <v>100</v>
      </c>
      <c r="J357" s="1" t="s">
        <v>489</v>
      </c>
      <c r="K357" s="1" t="s">
        <v>33</v>
      </c>
      <c r="L357" s="1" t="s">
        <v>33</v>
      </c>
      <c r="M357" s="1" t="s">
        <v>34</v>
      </c>
      <c r="N357" s="5">
        <v>102.65</v>
      </c>
      <c r="O357" s="5">
        <v>102.25</v>
      </c>
      <c r="P357" s="5">
        <v>102.44</v>
      </c>
      <c r="Q357" s="5">
        <v>125</v>
      </c>
      <c r="R357" s="5">
        <v>130.57</v>
      </c>
      <c r="S357" s="5">
        <v>123.86966666667</v>
      </c>
      <c r="T357" s="3"/>
      <c r="U357" s="3"/>
      <c r="V357" s="3"/>
      <c r="W357" s="3"/>
      <c r="X357" s="3"/>
      <c r="Y357" s="3"/>
    </row>
    <row r="358" spans="1:25" hidden="1" x14ac:dyDescent="0.3">
      <c r="A358" s="1">
        <v>344</v>
      </c>
      <c r="B358" s="1" t="s">
        <v>490</v>
      </c>
      <c r="C358" s="1" t="s">
        <v>47</v>
      </c>
      <c r="D358" s="1" t="s">
        <v>39</v>
      </c>
      <c r="E358" s="1" t="s">
        <v>28</v>
      </c>
      <c r="F358" s="1" t="s">
        <v>29</v>
      </c>
      <c r="G358" s="1" t="s">
        <v>30</v>
      </c>
      <c r="H358" s="1" t="s">
        <v>31</v>
      </c>
      <c r="I358" s="1">
        <v>93</v>
      </c>
      <c r="J358" s="1" t="s">
        <v>491</v>
      </c>
      <c r="K358" s="1" t="s">
        <v>33</v>
      </c>
      <c r="L358" s="1" t="s">
        <v>33</v>
      </c>
      <c r="M358" s="1" t="s">
        <v>34</v>
      </c>
      <c r="N358" s="5">
        <v>100</v>
      </c>
      <c r="O358" s="5">
        <v>99.43</v>
      </c>
      <c r="P358" s="5">
        <v>99.19</v>
      </c>
      <c r="Q358" s="4">
        <v>97.34</v>
      </c>
      <c r="R358" s="4">
        <v>97.76</v>
      </c>
      <c r="S358" s="4">
        <v>97.744360902256005</v>
      </c>
      <c r="T358" s="3"/>
      <c r="U358" s="3"/>
      <c r="V358" s="3"/>
      <c r="W358" s="3"/>
      <c r="X358" s="3"/>
      <c r="Y358" s="3"/>
    </row>
    <row r="359" spans="1:25" hidden="1" x14ac:dyDescent="0.3">
      <c r="A359" s="1">
        <v>356</v>
      </c>
      <c r="B359" s="1" t="s">
        <v>506</v>
      </c>
      <c r="C359" s="1" t="s">
        <v>47</v>
      </c>
      <c r="D359" s="1" t="s">
        <v>504</v>
      </c>
      <c r="E359" s="1" t="s">
        <v>40</v>
      </c>
      <c r="F359" s="1" t="s">
        <v>29</v>
      </c>
      <c r="G359" s="1" t="s">
        <v>41</v>
      </c>
      <c r="H359" s="1" t="s">
        <v>31</v>
      </c>
      <c r="I359" s="1">
        <v>60</v>
      </c>
      <c r="J359" s="1" t="s">
        <v>507</v>
      </c>
      <c r="K359" s="1" t="s">
        <v>33</v>
      </c>
      <c r="L359" s="1" t="s">
        <v>33</v>
      </c>
      <c r="M359" s="1" t="s">
        <v>34</v>
      </c>
      <c r="N359" s="6">
        <v>64.77</v>
      </c>
      <c r="O359" s="5">
        <v>49.14</v>
      </c>
      <c r="P359" s="6">
        <v>65.55</v>
      </c>
      <c r="Q359" s="5">
        <v>54.08</v>
      </c>
      <c r="R359" s="6">
        <v>61.54</v>
      </c>
      <c r="S359" s="5">
        <v>49.213961407602</v>
      </c>
      <c r="T359" s="3"/>
      <c r="U359" s="3"/>
      <c r="V359" s="3"/>
      <c r="W359" s="3"/>
      <c r="X359" s="3"/>
      <c r="Y359" s="3"/>
    </row>
    <row r="360" spans="1:25" hidden="1" x14ac:dyDescent="0.3">
      <c r="A360" s="1">
        <v>357</v>
      </c>
      <c r="B360" s="1" t="s">
        <v>508</v>
      </c>
      <c r="C360" s="1" t="s">
        <v>47</v>
      </c>
      <c r="D360" s="1" t="s">
        <v>504</v>
      </c>
      <c r="E360" s="1" t="s">
        <v>28</v>
      </c>
      <c r="F360" s="1" t="s">
        <v>29</v>
      </c>
      <c r="G360" s="1" t="s">
        <v>30</v>
      </c>
      <c r="H360" s="1" t="s">
        <v>31</v>
      </c>
      <c r="I360" s="1"/>
      <c r="J360" s="1" t="s">
        <v>509</v>
      </c>
      <c r="K360" s="1" t="s">
        <v>33</v>
      </c>
      <c r="L360" s="1" t="s">
        <v>33</v>
      </c>
      <c r="M360" s="1" t="s">
        <v>34</v>
      </c>
      <c r="N360" s="3"/>
      <c r="O360" s="9">
        <v>0.85</v>
      </c>
      <c r="P360" s="9">
        <v>0.51</v>
      </c>
      <c r="Q360" s="9">
        <v>3.87</v>
      </c>
      <c r="R360" s="9">
        <v>4.45</v>
      </c>
      <c r="S360" s="9">
        <v>3.0055354363175999</v>
      </c>
      <c r="T360" s="3"/>
      <c r="U360" s="3"/>
      <c r="V360" s="3"/>
      <c r="W360" s="3"/>
      <c r="X360" s="3"/>
      <c r="Y360" s="3"/>
    </row>
    <row r="361" spans="1:25" hidden="1" x14ac:dyDescent="0.3">
      <c r="A361" s="1">
        <v>358</v>
      </c>
      <c r="B361" s="1" t="s">
        <v>510</v>
      </c>
      <c r="C361" s="1" t="s">
        <v>26</v>
      </c>
      <c r="D361" s="1" t="s">
        <v>511</v>
      </c>
      <c r="E361" s="1" t="s">
        <v>28</v>
      </c>
      <c r="F361" s="1" t="s">
        <v>29</v>
      </c>
      <c r="G361" s="1" t="s">
        <v>30</v>
      </c>
      <c r="H361" s="1" t="s">
        <v>31</v>
      </c>
      <c r="I361" s="1">
        <v>100</v>
      </c>
      <c r="J361" s="1" t="s">
        <v>512</v>
      </c>
      <c r="K361" s="1" t="s">
        <v>33</v>
      </c>
      <c r="L361" s="1" t="s">
        <v>33</v>
      </c>
      <c r="M361" s="1" t="s">
        <v>34</v>
      </c>
      <c r="N361" s="4">
        <v>100</v>
      </c>
      <c r="O361" s="4">
        <v>100</v>
      </c>
      <c r="P361" s="5">
        <v>100</v>
      </c>
      <c r="Q361" s="5">
        <v>97.99</v>
      </c>
      <c r="R361" s="5">
        <v>95</v>
      </c>
      <c r="S361" s="6">
        <v>86.984536082473994</v>
      </c>
      <c r="T361" s="3"/>
      <c r="U361" s="3"/>
      <c r="V361" s="3"/>
      <c r="W361" s="3"/>
      <c r="X361" s="3"/>
      <c r="Y361" s="3"/>
    </row>
    <row r="362" spans="1:25" hidden="1" x14ac:dyDescent="0.3">
      <c r="A362" s="1">
        <v>359</v>
      </c>
      <c r="B362" s="1" t="s">
        <v>513</v>
      </c>
      <c r="C362" s="1" t="s">
        <v>47</v>
      </c>
      <c r="D362" s="1" t="s">
        <v>360</v>
      </c>
      <c r="E362" s="1" t="s">
        <v>44</v>
      </c>
      <c r="F362" s="1" t="s">
        <v>29</v>
      </c>
      <c r="G362" s="1" t="s">
        <v>30</v>
      </c>
      <c r="H362" s="1" t="s">
        <v>31</v>
      </c>
      <c r="I362" s="1">
        <v>85</v>
      </c>
      <c r="J362" s="1" t="s">
        <v>514</v>
      </c>
      <c r="K362" s="1" t="s">
        <v>33</v>
      </c>
      <c r="L362" s="1" t="s">
        <v>33</v>
      </c>
      <c r="M362" s="1" t="s">
        <v>34</v>
      </c>
      <c r="N362" s="4">
        <v>89.9</v>
      </c>
      <c r="O362" s="5">
        <v>90</v>
      </c>
      <c r="P362" s="5">
        <v>86</v>
      </c>
      <c r="Q362" s="3" t="s">
        <v>59</v>
      </c>
      <c r="R362" s="3"/>
      <c r="S362" s="3"/>
      <c r="T362" s="3"/>
      <c r="U362" s="3"/>
      <c r="V362" s="3"/>
      <c r="W362" s="3"/>
      <c r="X362" s="3"/>
      <c r="Y362" s="3"/>
    </row>
    <row r="363" spans="1:25" hidden="1" x14ac:dyDescent="0.3">
      <c r="A363" s="1">
        <v>362</v>
      </c>
      <c r="B363" s="1" t="s">
        <v>518</v>
      </c>
      <c r="C363" s="1" t="s">
        <v>26</v>
      </c>
      <c r="D363" s="1" t="s">
        <v>519</v>
      </c>
      <c r="E363" s="1" t="s">
        <v>28</v>
      </c>
      <c r="F363" s="1" t="s">
        <v>29</v>
      </c>
      <c r="G363" s="1" t="s">
        <v>30</v>
      </c>
      <c r="H363" s="1" t="s">
        <v>153</v>
      </c>
      <c r="I363" s="1">
        <v>98</v>
      </c>
      <c r="J363" s="1" t="s">
        <v>520</v>
      </c>
      <c r="K363" s="1" t="s">
        <v>155</v>
      </c>
      <c r="L363" s="1" t="s">
        <v>34</v>
      </c>
      <c r="M363" s="1" t="s">
        <v>34</v>
      </c>
      <c r="N363" s="4">
        <v>99.7</v>
      </c>
      <c r="O363" s="4">
        <v>99.63</v>
      </c>
      <c r="P363" s="4">
        <v>99.49</v>
      </c>
      <c r="Q363" s="4">
        <v>99.584323040380056</v>
      </c>
      <c r="R363" s="6">
        <v>99.156641448591998</v>
      </c>
      <c r="S363" s="3" t="s">
        <v>59</v>
      </c>
      <c r="T363" s="3" t="s">
        <v>59</v>
      </c>
      <c r="U363" s="3" t="s">
        <v>59</v>
      </c>
      <c r="V363" s="3" t="s">
        <v>59</v>
      </c>
      <c r="W363" s="3" t="s">
        <v>59</v>
      </c>
      <c r="X363" s="3" t="s">
        <v>59</v>
      </c>
      <c r="Y363" s="3" t="s">
        <v>59</v>
      </c>
    </row>
    <row r="364" spans="1:25" hidden="1" x14ac:dyDescent="0.3">
      <c r="A364">
        <v>362</v>
      </c>
      <c r="B364" t="s">
        <v>518</v>
      </c>
      <c r="C364" t="s">
        <v>26</v>
      </c>
      <c r="D364" t="s">
        <v>519</v>
      </c>
      <c r="E364" t="s">
        <v>28</v>
      </c>
      <c r="F364" t="s">
        <v>29</v>
      </c>
      <c r="G364" t="s">
        <v>30</v>
      </c>
      <c r="H364" t="s">
        <v>153</v>
      </c>
      <c r="I364">
        <v>98</v>
      </c>
      <c r="J364" t="s">
        <v>520</v>
      </c>
      <c r="K364" t="s">
        <v>155</v>
      </c>
      <c r="L364" t="s">
        <v>353</v>
      </c>
      <c r="M364" t="s">
        <v>354</v>
      </c>
      <c r="N364" s="3">
        <v>99.83</v>
      </c>
      <c r="O364" s="3">
        <v>99.72</v>
      </c>
      <c r="P364" s="3">
        <v>99.63</v>
      </c>
      <c r="Q364" s="3" t="s">
        <v>59</v>
      </c>
      <c r="R364" s="3">
        <v>99.44</v>
      </c>
      <c r="S364" s="3" t="s">
        <v>59</v>
      </c>
      <c r="T364" s="3" t="s">
        <v>59</v>
      </c>
      <c r="U364" s="3" t="s">
        <v>59</v>
      </c>
      <c r="V364" s="3" t="s">
        <v>59</v>
      </c>
      <c r="W364" s="3" t="s">
        <v>59</v>
      </c>
      <c r="X364" s="3" t="s">
        <v>59</v>
      </c>
      <c r="Y364" s="3" t="s">
        <v>59</v>
      </c>
    </row>
    <row r="365" spans="1:25" hidden="1" x14ac:dyDescent="0.3">
      <c r="A365">
        <v>362</v>
      </c>
      <c r="B365" t="s">
        <v>518</v>
      </c>
      <c r="C365" t="s">
        <v>26</v>
      </c>
      <c r="D365" t="s">
        <v>519</v>
      </c>
      <c r="E365" t="s">
        <v>28</v>
      </c>
      <c r="F365" t="s">
        <v>29</v>
      </c>
      <c r="G365" t="s">
        <v>30</v>
      </c>
      <c r="H365" t="s">
        <v>153</v>
      </c>
      <c r="I365">
        <v>98</v>
      </c>
      <c r="J365" t="s">
        <v>520</v>
      </c>
      <c r="K365" t="s">
        <v>155</v>
      </c>
      <c r="L365" t="s">
        <v>351</v>
      </c>
      <c r="M365" t="s">
        <v>352</v>
      </c>
      <c r="N365" s="3">
        <v>98.02</v>
      </c>
      <c r="O365" s="3">
        <v>98.64</v>
      </c>
      <c r="P365" s="3">
        <v>97.7</v>
      </c>
      <c r="Q365" s="3" t="s">
        <v>59</v>
      </c>
      <c r="R365" s="3">
        <v>95.33</v>
      </c>
      <c r="S365" s="3" t="s">
        <v>59</v>
      </c>
      <c r="T365" s="3" t="s">
        <v>59</v>
      </c>
      <c r="U365" s="3" t="s">
        <v>59</v>
      </c>
      <c r="V365" s="3" t="s">
        <v>59</v>
      </c>
      <c r="W365" s="3" t="s">
        <v>59</v>
      </c>
      <c r="X365" s="3" t="s">
        <v>59</v>
      </c>
      <c r="Y365" s="3" t="s">
        <v>59</v>
      </c>
    </row>
    <row r="366" spans="1:25" hidden="1" x14ac:dyDescent="0.3">
      <c r="A366" s="1">
        <v>363</v>
      </c>
      <c r="B366" s="1" t="s">
        <v>521</v>
      </c>
      <c r="C366" s="1" t="s">
        <v>26</v>
      </c>
      <c r="D366" s="1" t="s">
        <v>519</v>
      </c>
      <c r="E366" s="1" t="s">
        <v>28</v>
      </c>
      <c r="F366" s="1" t="s">
        <v>29</v>
      </c>
      <c r="G366" s="1" t="s">
        <v>30</v>
      </c>
      <c r="H366" s="1" t="s">
        <v>31</v>
      </c>
      <c r="I366" s="1">
        <v>100</v>
      </c>
      <c r="J366" s="1" t="s">
        <v>522</v>
      </c>
      <c r="K366" s="1" t="s">
        <v>33</v>
      </c>
      <c r="L366" s="1" t="s">
        <v>33</v>
      </c>
      <c r="M366" s="1" t="s">
        <v>34</v>
      </c>
      <c r="N366" s="4">
        <v>100</v>
      </c>
      <c r="O366" s="4">
        <v>100</v>
      </c>
      <c r="P366" s="4">
        <v>100</v>
      </c>
      <c r="Q366" s="4">
        <v>100</v>
      </c>
      <c r="R366" s="4">
        <v>100</v>
      </c>
      <c r="S366" s="3"/>
      <c r="T366" s="3"/>
      <c r="U366" s="3"/>
      <c r="V366" s="3"/>
      <c r="W366" s="3"/>
      <c r="X366" s="3"/>
      <c r="Y366" s="3"/>
    </row>
    <row r="367" spans="1:25" hidden="1" x14ac:dyDescent="0.3">
      <c r="A367" s="1">
        <v>364</v>
      </c>
      <c r="B367" s="1" t="s">
        <v>523</v>
      </c>
      <c r="C367" s="1" t="s">
        <v>26</v>
      </c>
      <c r="D367" s="1" t="s">
        <v>516</v>
      </c>
      <c r="E367" s="1" t="s">
        <v>28</v>
      </c>
      <c r="F367" s="1" t="s">
        <v>29</v>
      </c>
      <c r="G367" s="1" t="s">
        <v>30</v>
      </c>
      <c r="H367" s="1" t="s">
        <v>31</v>
      </c>
      <c r="I367" s="1">
        <v>100</v>
      </c>
      <c r="J367" s="1" t="s">
        <v>524</v>
      </c>
      <c r="K367" s="1" t="s">
        <v>33</v>
      </c>
      <c r="L367" s="1" t="s">
        <v>33</v>
      </c>
      <c r="M367" s="1" t="s">
        <v>34</v>
      </c>
      <c r="N367" s="7">
        <v>78.11</v>
      </c>
      <c r="O367" s="6">
        <v>93.89</v>
      </c>
      <c r="P367" s="6">
        <v>98.09</v>
      </c>
      <c r="Q367" s="5">
        <v>132.72999999999999</v>
      </c>
      <c r="R367" s="9">
        <v>78450</v>
      </c>
      <c r="S367" s="9">
        <v>30244</v>
      </c>
      <c r="T367" s="3"/>
      <c r="U367" s="3"/>
      <c r="V367" s="3"/>
      <c r="W367" s="3"/>
      <c r="X367" s="3"/>
      <c r="Y367" s="3"/>
    </row>
    <row r="368" spans="1:25" hidden="1" x14ac:dyDescent="0.3">
      <c r="A368" s="1">
        <v>369</v>
      </c>
      <c r="B368" s="1" t="s">
        <v>532</v>
      </c>
      <c r="C368" s="1" t="s">
        <v>47</v>
      </c>
      <c r="D368" s="1" t="s">
        <v>516</v>
      </c>
      <c r="E368" s="1" t="s">
        <v>28</v>
      </c>
      <c r="F368" s="1" t="s">
        <v>29</v>
      </c>
      <c r="G368" s="1" t="s">
        <v>30</v>
      </c>
      <c r="H368" s="1" t="s">
        <v>153</v>
      </c>
      <c r="I368" s="1">
        <v>100</v>
      </c>
      <c r="J368" s="1" t="s">
        <v>533</v>
      </c>
      <c r="K368" s="1" t="s">
        <v>155</v>
      </c>
      <c r="L368" s="1" t="s">
        <v>34</v>
      </c>
      <c r="M368" s="1" t="s">
        <v>34</v>
      </c>
      <c r="N368" s="5">
        <v>108.26</v>
      </c>
      <c r="O368" s="6">
        <v>88.89</v>
      </c>
      <c r="P368" s="7">
        <v>71.3</v>
      </c>
      <c r="Q368" s="7">
        <v>76.25</v>
      </c>
      <c r="R368" s="3" t="s">
        <v>59</v>
      </c>
      <c r="S368" s="3" t="s">
        <v>59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</row>
    <row r="369" spans="1:25" hidden="1" x14ac:dyDescent="0.3">
      <c r="A369">
        <v>369</v>
      </c>
      <c r="B369" t="s">
        <v>532</v>
      </c>
      <c r="C369" t="s">
        <v>47</v>
      </c>
      <c r="D369" t="s">
        <v>516</v>
      </c>
      <c r="E369" t="s">
        <v>28</v>
      </c>
      <c r="F369" t="s">
        <v>29</v>
      </c>
      <c r="G369" t="s">
        <v>30</v>
      </c>
      <c r="H369" t="s">
        <v>153</v>
      </c>
      <c r="I369">
        <v>100</v>
      </c>
      <c r="J369" t="s">
        <v>533</v>
      </c>
      <c r="K369" t="s">
        <v>155</v>
      </c>
      <c r="L369" t="s">
        <v>534</v>
      </c>
      <c r="M369" t="s">
        <v>535</v>
      </c>
      <c r="N369" s="3">
        <v>218.18</v>
      </c>
      <c r="O369" s="3">
        <v>80</v>
      </c>
      <c r="P369" s="3">
        <v>270</v>
      </c>
      <c r="Q369" s="3" t="s">
        <v>59</v>
      </c>
      <c r="R369" s="3" t="s">
        <v>59</v>
      </c>
      <c r="S369" s="3" t="s">
        <v>59</v>
      </c>
      <c r="T369" s="3" t="s">
        <v>59</v>
      </c>
      <c r="U369" s="3" t="s">
        <v>59</v>
      </c>
      <c r="V369" s="3" t="s">
        <v>59</v>
      </c>
      <c r="W369" s="3" t="s">
        <v>59</v>
      </c>
      <c r="X369" s="3" t="s">
        <v>59</v>
      </c>
      <c r="Y369" s="3" t="s">
        <v>59</v>
      </c>
    </row>
    <row r="370" spans="1:25" hidden="1" x14ac:dyDescent="0.3">
      <c r="A370">
        <v>369</v>
      </c>
      <c r="B370" t="s">
        <v>532</v>
      </c>
      <c r="C370" t="s">
        <v>47</v>
      </c>
      <c r="D370" t="s">
        <v>516</v>
      </c>
      <c r="E370" t="s">
        <v>28</v>
      </c>
      <c r="F370" t="s">
        <v>29</v>
      </c>
      <c r="G370" t="s">
        <v>30</v>
      </c>
      <c r="H370" t="s">
        <v>153</v>
      </c>
      <c r="I370">
        <v>100</v>
      </c>
      <c r="J370" t="s">
        <v>533</v>
      </c>
      <c r="K370" t="s">
        <v>155</v>
      </c>
      <c r="L370" t="s">
        <v>366</v>
      </c>
      <c r="M370" t="s">
        <v>367</v>
      </c>
      <c r="N370" s="3">
        <v>95.92</v>
      </c>
      <c r="O370" s="3">
        <v>90.14</v>
      </c>
      <c r="P370" s="3">
        <v>51.02</v>
      </c>
      <c r="Q370" s="3" t="s">
        <v>59</v>
      </c>
      <c r="R370" s="3" t="s">
        <v>59</v>
      </c>
      <c r="S370" s="3" t="s">
        <v>59</v>
      </c>
      <c r="T370" s="3" t="s">
        <v>59</v>
      </c>
      <c r="U370" s="3" t="s">
        <v>59</v>
      </c>
      <c r="V370" s="3" t="s">
        <v>59</v>
      </c>
      <c r="W370" s="3" t="s">
        <v>59</v>
      </c>
      <c r="X370" s="3" t="s">
        <v>59</v>
      </c>
      <c r="Y370" s="3" t="s">
        <v>59</v>
      </c>
    </row>
    <row r="371" spans="1:25" hidden="1" x14ac:dyDescent="0.3">
      <c r="A371" s="1">
        <v>371</v>
      </c>
      <c r="B371" s="1" t="s">
        <v>536</v>
      </c>
      <c r="C371" s="1" t="s">
        <v>47</v>
      </c>
      <c r="D371" s="1" t="s">
        <v>516</v>
      </c>
      <c r="E371" s="1" t="s">
        <v>28</v>
      </c>
      <c r="F371" s="1" t="s">
        <v>29</v>
      </c>
      <c r="G371" s="1" t="s">
        <v>30</v>
      </c>
      <c r="H371" s="1" t="s">
        <v>31</v>
      </c>
      <c r="I371" s="1">
        <v>100</v>
      </c>
      <c r="J371" s="1" t="s">
        <v>537</v>
      </c>
      <c r="K371" s="1" t="s">
        <v>33</v>
      </c>
      <c r="L371" s="1" t="s">
        <v>33</v>
      </c>
      <c r="M371" s="1" t="s">
        <v>34</v>
      </c>
      <c r="N371" s="6">
        <v>83.42</v>
      </c>
      <c r="O371" s="7">
        <v>73.69</v>
      </c>
      <c r="P371" s="6">
        <v>96.99</v>
      </c>
      <c r="Q371" s="5">
        <v>149.72</v>
      </c>
      <c r="R371" s="5">
        <v>173.07</v>
      </c>
      <c r="S371" s="5">
        <v>157.50274243635999</v>
      </c>
      <c r="T371" s="3"/>
      <c r="U371" s="3"/>
      <c r="V371" s="3"/>
      <c r="W371" s="3"/>
      <c r="X371" s="3"/>
      <c r="Y371" s="3"/>
    </row>
    <row r="372" spans="1:25" hidden="1" x14ac:dyDescent="0.3">
      <c r="A372" s="1">
        <v>375</v>
      </c>
      <c r="B372" s="1" t="s">
        <v>542</v>
      </c>
      <c r="C372" s="1" t="s">
        <v>26</v>
      </c>
      <c r="D372" s="1" t="s">
        <v>519</v>
      </c>
      <c r="E372" s="1" t="s">
        <v>28</v>
      </c>
      <c r="F372" s="1" t="s">
        <v>29</v>
      </c>
      <c r="G372" s="1" t="s">
        <v>30</v>
      </c>
      <c r="H372" s="1" t="s">
        <v>153</v>
      </c>
      <c r="I372" s="1">
        <v>100</v>
      </c>
      <c r="J372" s="1" t="s">
        <v>543</v>
      </c>
      <c r="K372" s="1" t="s">
        <v>186</v>
      </c>
      <c r="L372" s="1" t="s">
        <v>34</v>
      </c>
      <c r="M372" s="1" t="s">
        <v>34</v>
      </c>
      <c r="N372" s="4">
        <v>100</v>
      </c>
      <c r="O372" s="4">
        <v>100</v>
      </c>
      <c r="P372" s="4">
        <v>100</v>
      </c>
      <c r="Q372" s="4">
        <v>100</v>
      </c>
      <c r="R372" s="4">
        <v>100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</row>
    <row r="373" spans="1:25" hidden="1" x14ac:dyDescent="0.3">
      <c r="A373">
        <v>375</v>
      </c>
      <c r="B373" t="s">
        <v>542</v>
      </c>
      <c r="C373" t="s">
        <v>26</v>
      </c>
      <c r="D373" t="s">
        <v>519</v>
      </c>
      <c r="E373" t="s">
        <v>28</v>
      </c>
      <c r="F373" t="s">
        <v>29</v>
      </c>
      <c r="G373" t="s">
        <v>30</v>
      </c>
      <c r="H373" t="s">
        <v>153</v>
      </c>
      <c r="I373">
        <v>100</v>
      </c>
      <c r="J373" t="s">
        <v>543</v>
      </c>
      <c r="K373" t="s">
        <v>186</v>
      </c>
      <c r="L373" t="s">
        <v>353</v>
      </c>
      <c r="M373" t="s">
        <v>354</v>
      </c>
      <c r="N373" s="3">
        <v>100</v>
      </c>
      <c r="O373" s="3">
        <v>100</v>
      </c>
      <c r="P373" s="3" t="s">
        <v>59</v>
      </c>
      <c r="Q373" s="3">
        <v>100</v>
      </c>
      <c r="R373" s="3" t="s">
        <v>59</v>
      </c>
      <c r="S373" s="3" t="s">
        <v>59</v>
      </c>
      <c r="T373" s="3" t="s">
        <v>59</v>
      </c>
      <c r="U373" s="3" t="s">
        <v>59</v>
      </c>
      <c r="V373" s="3" t="s">
        <v>59</v>
      </c>
      <c r="W373" s="3" t="s">
        <v>59</v>
      </c>
      <c r="X373" s="3" t="s">
        <v>59</v>
      </c>
      <c r="Y373" s="3" t="s">
        <v>59</v>
      </c>
    </row>
    <row r="374" spans="1:25" hidden="1" x14ac:dyDescent="0.3">
      <c r="A374">
        <v>375</v>
      </c>
      <c r="B374" t="s">
        <v>542</v>
      </c>
      <c r="C374" t="s">
        <v>26</v>
      </c>
      <c r="D374" t="s">
        <v>519</v>
      </c>
      <c r="E374" t="s">
        <v>28</v>
      </c>
      <c r="F374" t="s">
        <v>29</v>
      </c>
      <c r="G374" t="s">
        <v>30</v>
      </c>
      <c r="H374" t="s">
        <v>153</v>
      </c>
      <c r="I374">
        <v>100</v>
      </c>
      <c r="J374" t="s">
        <v>543</v>
      </c>
      <c r="K374" t="s">
        <v>186</v>
      </c>
      <c r="L374" t="s">
        <v>351</v>
      </c>
      <c r="M374" t="s">
        <v>352</v>
      </c>
      <c r="N374" s="3">
        <v>100</v>
      </c>
      <c r="O374" s="3">
        <v>100</v>
      </c>
      <c r="P374" s="3" t="s">
        <v>59</v>
      </c>
      <c r="Q374" s="3" t="s">
        <v>59</v>
      </c>
      <c r="R374" s="3">
        <v>100</v>
      </c>
      <c r="S374" s="3" t="s">
        <v>59</v>
      </c>
      <c r="T374" s="3" t="s">
        <v>59</v>
      </c>
      <c r="U374" s="3" t="s">
        <v>59</v>
      </c>
      <c r="V374" s="3" t="s">
        <v>59</v>
      </c>
      <c r="W374" s="3" t="s">
        <v>59</v>
      </c>
      <c r="X374" s="3" t="s">
        <v>59</v>
      </c>
      <c r="Y374" s="3" t="s">
        <v>59</v>
      </c>
    </row>
    <row r="375" spans="1:25" hidden="1" x14ac:dyDescent="0.3">
      <c r="A375" s="1">
        <v>376</v>
      </c>
      <c r="B375" s="1" t="s">
        <v>544</v>
      </c>
      <c r="C375" s="1" t="s">
        <v>47</v>
      </c>
      <c r="D375" s="1" t="s">
        <v>152</v>
      </c>
      <c r="E375" s="1" t="s">
        <v>40</v>
      </c>
      <c r="F375" s="1" t="s">
        <v>29</v>
      </c>
      <c r="G375" s="1" t="s">
        <v>30</v>
      </c>
      <c r="H375" s="1" t="s">
        <v>31</v>
      </c>
      <c r="I375" s="1">
        <v>95</v>
      </c>
      <c r="J375" s="1" t="s">
        <v>545</v>
      </c>
      <c r="K375" s="1" t="s">
        <v>33</v>
      </c>
      <c r="L375" s="1" t="s">
        <v>33</v>
      </c>
      <c r="M375" s="1" t="s">
        <v>34</v>
      </c>
      <c r="N375" s="5">
        <v>117.51</v>
      </c>
      <c r="O375" s="5">
        <v>117.87</v>
      </c>
      <c r="P375" s="5">
        <v>109.1</v>
      </c>
      <c r="Q375" s="5">
        <v>104</v>
      </c>
      <c r="R375" s="5">
        <v>101.26</v>
      </c>
      <c r="S375" s="5">
        <v>149.72237633949999</v>
      </c>
      <c r="T375" s="3"/>
      <c r="U375" s="3"/>
      <c r="V375" s="3"/>
      <c r="W375" s="3"/>
      <c r="X375" s="3"/>
      <c r="Y375" s="3"/>
    </row>
    <row r="376" spans="1:25" hidden="1" x14ac:dyDescent="0.3">
      <c r="A376" s="1">
        <v>379</v>
      </c>
      <c r="B376" s="1" t="s">
        <v>548</v>
      </c>
      <c r="C376" s="1" t="s">
        <v>47</v>
      </c>
      <c r="D376" s="1" t="s">
        <v>549</v>
      </c>
      <c r="E376" s="1" t="s">
        <v>28</v>
      </c>
      <c r="F376" s="1" t="s">
        <v>29</v>
      </c>
      <c r="G376" s="1" t="s">
        <v>30</v>
      </c>
      <c r="H376" s="1" t="s">
        <v>31</v>
      </c>
      <c r="I376" s="1">
        <v>100</v>
      </c>
      <c r="J376" s="1" t="s">
        <v>550</v>
      </c>
      <c r="K376" s="1" t="s">
        <v>33</v>
      </c>
      <c r="L376" s="1" t="s">
        <v>33</v>
      </c>
      <c r="M376" s="1" t="s">
        <v>34</v>
      </c>
      <c r="N376" s="5">
        <v>102.41</v>
      </c>
      <c r="O376" s="5">
        <v>104.11</v>
      </c>
      <c r="P376" s="6">
        <v>99.31</v>
      </c>
      <c r="Q376" s="6">
        <v>95.92</v>
      </c>
      <c r="R376" s="5">
        <v>108.65</v>
      </c>
      <c r="S376" s="5">
        <v>102.72877164056</v>
      </c>
      <c r="T376" s="3"/>
      <c r="U376" s="3"/>
      <c r="V376" s="3"/>
      <c r="W376" s="3"/>
      <c r="X376" s="3"/>
      <c r="Y376" s="3"/>
    </row>
    <row r="377" spans="1:25" hidden="1" x14ac:dyDescent="0.3">
      <c r="A377" s="1">
        <v>381</v>
      </c>
      <c r="B377" s="1" t="s">
        <v>551</v>
      </c>
      <c r="C377" s="1" t="s">
        <v>47</v>
      </c>
      <c r="D377" s="1" t="s">
        <v>549</v>
      </c>
      <c r="E377" s="1" t="s">
        <v>28</v>
      </c>
      <c r="F377" s="1" t="s">
        <v>29</v>
      </c>
      <c r="G377" s="1" t="s">
        <v>30</v>
      </c>
      <c r="H377" s="1" t="s">
        <v>31</v>
      </c>
      <c r="I377" s="1">
        <v>100</v>
      </c>
      <c r="J377" s="1" t="s">
        <v>552</v>
      </c>
      <c r="K377" s="1" t="s">
        <v>33</v>
      </c>
      <c r="L377" s="1" t="s">
        <v>33</v>
      </c>
      <c r="M377" s="1" t="s">
        <v>34</v>
      </c>
      <c r="N377" s="5">
        <v>113.66</v>
      </c>
      <c r="O377" s="6">
        <v>98.22</v>
      </c>
      <c r="P377" s="6">
        <v>89.19</v>
      </c>
      <c r="Q377" s="5">
        <v>105.26</v>
      </c>
      <c r="R377" s="5">
        <v>113.7</v>
      </c>
      <c r="S377" s="5">
        <v>104.27170868347</v>
      </c>
      <c r="T377" s="3"/>
      <c r="U377" s="3"/>
      <c r="V377" s="3"/>
      <c r="W377" s="3"/>
      <c r="X377" s="3"/>
      <c r="Y377" s="3"/>
    </row>
    <row r="378" spans="1:25" hidden="1" x14ac:dyDescent="0.3">
      <c r="A378" s="1">
        <v>382</v>
      </c>
      <c r="B378" s="1" t="s">
        <v>553</v>
      </c>
      <c r="C378" s="1" t="s">
        <v>47</v>
      </c>
      <c r="D378" s="1" t="s">
        <v>549</v>
      </c>
      <c r="E378" s="1" t="s">
        <v>28</v>
      </c>
      <c r="F378" s="1" t="s">
        <v>29</v>
      </c>
      <c r="G378" s="1" t="s">
        <v>30</v>
      </c>
      <c r="H378" s="1" t="s">
        <v>31</v>
      </c>
      <c r="I378" s="1">
        <v>100</v>
      </c>
      <c r="J378" s="1" t="s">
        <v>554</v>
      </c>
      <c r="K378" s="1" t="s">
        <v>33</v>
      </c>
      <c r="L378" s="1" t="s">
        <v>33</v>
      </c>
      <c r="M378" s="1" t="s">
        <v>34</v>
      </c>
      <c r="N378" s="6">
        <v>97.21</v>
      </c>
      <c r="O378" s="6">
        <v>99.85</v>
      </c>
      <c r="P378" s="6">
        <v>98.13</v>
      </c>
      <c r="Q378" s="6">
        <v>93.7</v>
      </c>
      <c r="R378" s="5">
        <v>103.01</v>
      </c>
      <c r="S378" s="5">
        <v>101.25041131950999</v>
      </c>
      <c r="T378" s="3"/>
      <c r="U378" s="3"/>
      <c r="V378" s="3"/>
      <c r="W378" s="3"/>
      <c r="X378" s="3"/>
      <c r="Y378" s="3"/>
    </row>
    <row r="379" spans="1:25" hidden="1" x14ac:dyDescent="0.3">
      <c r="A379" s="1">
        <v>383</v>
      </c>
      <c r="B379" s="1" t="s">
        <v>555</v>
      </c>
      <c r="C379" s="1" t="s">
        <v>26</v>
      </c>
      <c r="D379" s="1" t="s">
        <v>549</v>
      </c>
      <c r="E379" s="1" t="s">
        <v>28</v>
      </c>
      <c r="F379" s="1" t="s">
        <v>29</v>
      </c>
      <c r="G379" s="1" t="s">
        <v>30</v>
      </c>
      <c r="H379" s="1" t="s">
        <v>31</v>
      </c>
      <c r="I379" s="1">
        <v>100</v>
      </c>
      <c r="J379" s="1" t="s">
        <v>556</v>
      </c>
      <c r="K379" s="1" t="s">
        <v>33</v>
      </c>
      <c r="L379" s="1" t="s">
        <v>33</v>
      </c>
      <c r="M379" s="1" t="s">
        <v>34</v>
      </c>
      <c r="N379" s="5">
        <v>127.87</v>
      </c>
      <c r="O379" s="5">
        <v>136.96</v>
      </c>
      <c r="P379" s="5">
        <v>120.71</v>
      </c>
      <c r="Q379" s="4">
        <v>100.2</v>
      </c>
      <c r="R379" s="5">
        <v>148.66</v>
      </c>
      <c r="S379" s="5">
        <v>109.38232994527</v>
      </c>
      <c r="T379" s="3"/>
      <c r="U379" s="3"/>
      <c r="V379" s="3"/>
      <c r="W379" s="3"/>
      <c r="X379" s="3"/>
      <c r="Y379" s="3"/>
    </row>
    <row r="380" spans="1:25" hidden="1" x14ac:dyDescent="0.3">
      <c r="A380" s="1">
        <v>384</v>
      </c>
      <c r="B380" s="1" t="s">
        <v>557</v>
      </c>
      <c r="C380" s="1" t="s">
        <v>26</v>
      </c>
      <c r="D380" s="1" t="s">
        <v>549</v>
      </c>
      <c r="E380" s="1" t="s">
        <v>28</v>
      </c>
      <c r="F380" s="1" t="s">
        <v>29</v>
      </c>
      <c r="G380" s="1" t="s">
        <v>30</v>
      </c>
      <c r="H380" s="1" t="s">
        <v>31</v>
      </c>
      <c r="I380" s="1">
        <v>100</v>
      </c>
      <c r="J380" s="1" t="s">
        <v>558</v>
      </c>
      <c r="K380" s="1" t="s">
        <v>33</v>
      </c>
      <c r="L380" s="1" t="s">
        <v>33</v>
      </c>
      <c r="M380" s="1" t="s">
        <v>34</v>
      </c>
      <c r="N380" s="4">
        <v>100.93</v>
      </c>
      <c r="O380" s="5">
        <v>103.23</v>
      </c>
      <c r="P380" s="6">
        <v>87.9</v>
      </c>
      <c r="Q380" s="5">
        <v>102.2</v>
      </c>
      <c r="R380" s="5">
        <v>115.38</v>
      </c>
      <c r="S380" s="5">
        <v>111.76470588235</v>
      </c>
      <c r="T380" s="3"/>
      <c r="U380" s="3"/>
      <c r="V380" s="3"/>
      <c r="W380" s="3"/>
      <c r="X380" s="3"/>
      <c r="Y380" s="3"/>
    </row>
    <row r="381" spans="1:25" hidden="1" x14ac:dyDescent="0.3">
      <c r="A381" s="1">
        <v>385</v>
      </c>
      <c r="B381" s="1" t="s">
        <v>559</v>
      </c>
      <c r="C381" s="1" t="s">
        <v>47</v>
      </c>
      <c r="D381" s="1" t="s">
        <v>560</v>
      </c>
      <c r="E381" s="1" t="s">
        <v>28</v>
      </c>
      <c r="F381" s="1" t="s">
        <v>29</v>
      </c>
      <c r="G381" s="1" t="s">
        <v>30</v>
      </c>
      <c r="H381" s="1" t="s">
        <v>31</v>
      </c>
      <c r="I381" s="1">
        <v>100</v>
      </c>
      <c r="J381" s="1" t="s">
        <v>561</v>
      </c>
      <c r="K381" s="1" t="s">
        <v>33</v>
      </c>
      <c r="L381" s="1" t="s">
        <v>33</v>
      </c>
      <c r="M381" s="1" t="s">
        <v>34</v>
      </c>
      <c r="N381" s="5">
        <v>108.89</v>
      </c>
      <c r="O381" s="5">
        <v>118.92</v>
      </c>
      <c r="P381" s="6">
        <v>88.56</v>
      </c>
      <c r="Q381" s="5">
        <v>113.63</v>
      </c>
      <c r="R381" s="5">
        <v>124.93</v>
      </c>
      <c r="S381" s="5">
        <v>102.98486566654</v>
      </c>
      <c r="T381" s="3"/>
      <c r="U381" s="3"/>
      <c r="V381" s="3"/>
      <c r="W381" s="3"/>
      <c r="X381" s="3"/>
      <c r="Y381" s="3"/>
    </row>
    <row r="382" spans="1:25" hidden="1" x14ac:dyDescent="0.3">
      <c r="A382" s="1">
        <v>386</v>
      </c>
      <c r="B382" s="1" t="s">
        <v>562</v>
      </c>
      <c r="C382" s="1" t="s">
        <v>47</v>
      </c>
      <c r="D382" s="1" t="s">
        <v>560</v>
      </c>
      <c r="E382" s="1" t="s">
        <v>40</v>
      </c>
      <c r="F382" s="1" t="s">
        <v>29</v>
      </c>
      <c r="G382" s="1" t="s">
        <v>30</v>
      </c>
      <c r="H382" s="1" t="s">
        <v>153</v>
      </c>
      <c r="I382" s="1">
        <v>100</v>
      </c>
      <c r="J382" s="1" t="s">
        <v>563</v>
      </c>
      <c r="K382" s="1" t="s">
        <v>155</v>
      </c>
      <c r="L382" s="1" t="s">
        <v>34</v>
      </c>
      <c r="M382" s="1" t="s">
        <v>34</v>
      </c>
      <c r="N382" s="5">
        <v>106.54</v>
      </c>
      <c r="O382" s="5">
        <v>118.92</v>
      </c>
      <c r="P382" s="7">
        <v>75.010000000000005</v>
      </c>
      <c r="Q382" s="5">
        <v>113.63</v>
      </c>
      <c r="R382" s="5">
        <v>138.22</v>
      </c>
      <c r="S382" s="5">
        <v>102.98486566654</v>
      </c>
      <c r="T382" s="3" t="s">
        <v>59</v>
      </c>
      <c r="U382" s="3" t="s">
        <v>59</v>
      </c>
      <c r="V382" s="3" t="s">
        <v>59</v>
      </c>
      <c r="W382" s="3" t="s">
        <v>59</v>
      </c>
      <c r="X382" s="3" t="s">
        <v>59</v>
      </c>
      <c r="Y382" s="3" t="s">
        <v>59</v>
      </c>
    </row>
    <row r="383" spans="1:25" hidden="1" x14ac:dyDescent="0.3">
      <c r="A383">
        <v>386</v>
      </c>
      <c r="B383" t="s">
        <v>562</v>
      </c>
      <c r="C383" t="s">
        <v>47</v>
      </c>
      <c r="D383" t="s">
        <v>560</v>
      </c>
      <c r="E383" t="s">
        <v>40</v>
      </c>
      <c r="F383" t="s">
        <v>29</v>
      </c>
      <c r="G383" t="s">
        <v>30</v>
      </c>
      <c r="H383" t="s">
        <v>153</v>
      </c>
      <c r="I383">
        <v>100</v>
      </c>
      <c r="J383" t="s">
        <v>563</v>
      </c>
      <c r="K383" t="s">
        <v>155</v>
      </c>
      <c r="L383" t="s">
        <v>564</v>
      </c>
      <c r="M383" t="s">
        <v>565</v>
      </c>
      <c r="N383" s="3">
        <v>106.07</v>
      </c>
      <c r="O383" s="3">
        <v>116.84</v>
      </c>
      <c r="P383" s="3">
        <v>137</v>
      </c>
      <c r="Q383" s="3" t="s">
        <v>59</v>
      </c>
      <c r="R383" s="3" t="s">
        <v>59</v>
      </c>
      <c r="S383" s="3">
        <v>366.93</v>
      </c>
      <c r="T383" s="3" t="s">
        <v>59</v>
      </c>
      <c r="U383" s="3" t="s">
        <v>59</v>
      </c>
      <c r="V383" s="3" t="s">
        <v>59</v>
      </c>
      <c r="W383" s="3" t="s">
        <v>59</v>
      </c>
      <c r="X383" s="3" t="s">
        <v>59</v>
      </c>
      <c r="Y383" s="3" t="s">
        <v>59</v>
      </c>
    </row>
    <row r="384" spans="1:25" hidden="1" x14ac:dyDescent="0.3">
      <c r="A384">
        <v>386</v>
      </c>
      <c r="B384" t="s">
        <v>562</v>
      </c>
      <c r="C384" t="s">
        <v>47</v>
      </c>
      <c r="D384" t="s">
        <v>560</v>
      </c>
      <c r="E384" t="s">
        <v>40</v>
      </c>
      <c r="F384" t="s">
        <v>29</v>
      </c>
      <c r="G384" t="s">
        <v>30</v>
      </c>
      <c r="H384" t="s">
        <v>153</v>
      </c>
      <c r="I384">
        <v>100</v>
      </c>
      <c r="J384" t="s">
        <v>563</v>
      </c>
      <c r="K384" t="s">
        <v>155</v>
      </c>
      <c r="L384" t="s">
        <v>566</v>
      </c>
      <c r="M384" t="s">
        <v>567</v>
      </c>
      <c r="N384" s="3">
        <v>89.72</v>
      </c>
      <c r="O384" s="3">
        <v>126.48</v>
      </c>
      <c r="P384" s="3">
        <v>24.93</v>
      </c>
      <c r="Q384" s="3" t="s">
        <v>59</v>
      </c>
      <c r="R384" s="3" t="s">
        <v>59</v>
      </c>
      <c r="S384" s="3">
        <v>106.1</v>
      </c>
      <c r="T384" s="3" t="s">
        <v>59</v>
      </c>
      <c r="U384" s="3" t="s">
        <v>59</v>
      </c>
      <c r="V384" s="3" t="s">
        <v>59</v>
      </c>
      <c r="W384" s="3" t="s">
        <v>59</v>
      </c>
      <c r="X384" s="3" t="s">
        <v>59</v>
      </c>
      <c r="Y384" s="3" t="s">
        <v>59</v>
      </c>
    </row>
    <row r="385" spans="1:25" hidden="1" x14ac:dyDescent="0.3">
      <c r="A385">
        <v>386</v>
      </c>
      <c r="B385" t="s">
        <v>562</v>
      </c>
      <c r="C385" t="s">
        <v>47</v>
      </c>
      <c r="D385" t="s">
        <v>560</v>
      </c>
      <c r="E385" t="s">
        <v>40</v>
      </c>
      <c r="F385" t="s">
        <v>29</v>
      </c>
      <c r="G385" t="s">
        <v>30</v>
      </c>
      <c r="H385" t="s">
        <v>153</v>
      </c>
      <c r="I385">
        <v>100</v>
      </c>
      <c r="J385" t="s">
        <v>563</v>
      </c>
      <c r="K385" t="s">
        <v>155</v>
      </c>
      <c r="L385" t="s">
        <v>568</v>
      </c>
      <c r="M385" t="s">
        <v>569</v>
      </c>
      <c r="N385" s="3">
        <v>129.36000000000001</v>
      </c>
      <c r="O385" s="3">
        <v>112.99</v>
      </c>
      <c r="P385" s="3">
        <v>114.21</v>
      </c>
      <c r="Q385" s="3">
        <v>112.43</v>
      </c>
      <c r="R385" s="3">
        <v>67.28</v>
      </c>
      <c r="S385" s="3">
        <v>77.81</v>
      </c>
      <c r="T385" s="3" t="s">
        <v>59</v>
      </c>
      <c r="U385" s="3" t="s">
        <v>59</v>
      </c>
      <c r="V385" s="3" t="s">
        <v>59</v>
      </c>
      <c r="W385" s="3" t="s">
        <v>59</v>
      </c>
      <c r="X385" s="3" t="s">
        <v>59</v>
      </c>
      <c r="Y385" s="3" t="s">
        <v>59</v>
      </c>
    </row>
    <row r="386" spans="1:25" hidden="1" x14ac:dyDescent="0.3">
      <c r="A386" s="1">
        <v>389</v>
      </c>
      <c r="B386" s="1" t="s">
        <v>570</v>
      </c>
      <c r="C386" s="1" t="s">
        <v>47</v>
      </c>
      <c r="D386" s="1" t="s">
        <v>571</v>
      </c>
      <c r="E386" s="1" t="s">
        <v>28</v>
      </c>
      <c r="F386" s="1" t="s">
        <v>29</v>
      </c>
      <c r="G386" s="1" t="s">
        <v>30</v>
      </c>
      <c r="H386" s="1" t="s">
        <v>153</v>
      </c>
      <c r="I386" s="1"/>
      <c r="J386" s="1" t="s">
        <v>572</v>
      </c>
      <c r="K386" s="1" t="s">
        <v>186</v>
      </c>
      <c r="L386" s="1" t="s">
        <v>34</v>
      </c>
      <c r="M386" s="1" t="s">
        <v>34</v>
      </c>
      <c r="N386" s="3"/>
      <c r="O386" s="3">
        <v>0</v>
      </c>
      <c r="P386" s="7">
        <v>0</v>
      </c>
      <c r="Q386" s="6">
        <v>84.433333333333323</v>
      </c>
      <c r="R386" s="7">
        <v>0</v>
      </c>
      <c r="S386" s="7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</row>
    <row r="387" spans="1:25" hidden="1" x14ac:dyDescent="0.3">
      <c r="A387">
        <v>389</v>
      </c>
      <c r="B387" t="s">
        <v>570</v>
      </c>
      <c r="C387" t="s">
        <v>47</v>
      </c>
      <c r="D387" t="s">
        <v>571</v>
      </c>
      <c r="E387" t="s">
        <v>28</v>
      </c>
      <c r="F387" t="s">
        <v>29</v>
      </c>
      <c r="G387" t="s">
        <v>30</v>
      </c>
      <c r="H387" t="s">
        <v>153</v>
      </c>
      <c r="J387" t="s">
        <v>572</v>
      </c>
      <c r="K387" t="s">
        <v>186</v>
      </c>
      <c r="L387" t="s">
        <v>573</v>
      </c>
      <c r="M387" t="s">
        <v>574</v>
      </c>
      <c r="N387" s="3" t="s">
        <v>59</v>
      </c>
      <c r="O387" s="3" t="s">
        <v>59</v>
      </c>
      <c r="P387" s="3" t="s">
        <v>59</v>
      </c>
      <c r="Q387" s="3" t="s">
        <v>59</v>
      </c>
      <c r="R387" s="3" t="s">
        <v>59</v>
      </c>
      <c r="S387" s="3">
        <v>86.7</v>
      </c>
      <c r="T387" s="3" t="s">
        <v>59</v>
      </c>
      <c r="U387" s="3" t="s">
        <v>59</v>
      </c>
      <c r="V387" s="3" t="s">
        <v>59</v>
      </c>
      <c r="W387" s="3" t="s">
        <v>59</v>
      </c>
      <c r="X387" s="3" t="s">
        <v>59</v>
      </c>
      <c r="Y387" s="3" t="s">
        <v>59</v>
      </c>
    </row>
    <row r="388" spans="1:25" hidden="1" x14ac:dyDescent="0.3">
      <c r="A388">
        <v>389</v>
      </c>
      <c r="B388" t="s">
        <v>570</v>
      </c>
      <c r="C388" t="s">
        <v>47</v>
      </c>
      <c r="D388" t="s">
        <v>571</v>
      </c>
      <c r="E388" t="s">
        <v>28</v>
      </c>
      <c r="F388" t="s">
        <v>29</v>
      </c>
      <c r="G388" t="s">
        <v>30</v>
      </c>
      <c r="H388" t="s">
        <v>153</v>
      </c>
      <c r="J388" t="s">
        <v>572</v>
      </c>
      <c r="K388" t="s">
        <v>186</v>
      </c>
      <c r="L388" t="s">
        <v>575</v>
      </c>
      <c r="M388" t="s">
        <v>576</v>
      </c>
      <c r="N388" s="3" t="s">
        <v>59</v>
      </c>
      <c r="O388" s="3" t="s">
        <v>59</v>
      </c>
      <c r="P388" s="3" t="s">
        <v>59</v>
      </c>
      <c r="Q388" s="3" t="s">
        <v>59</v>
      </c>
      <c r="R388" s="3" t="s">
        <v>59</v>
      </c>
      <c r="S388" s="3">
        <v>85.7</v>
      </c>
      <c r="T388" s="3" t="s">
        <v>59</v>
      </c>
      <c r="U388" s="3" t="s">
        <v>59</v>
      </c>
      <c r="V388" s="3" t="s">
        <v>59</v>
      </c>
      <c r="W388" s="3" t="s">
        <v>59</v>
      </c>
      <c r="X388" s="3" t="s">
        <v>59</v>
      </c>
      <c r="Y388" s="3" t="s">
        <v>59</v>
      </c>
    </row>
    <row r="389" spans="1:25" hidden="1" x14ac:dyDescent="0.3">
      <c r="A389">
        <v>389</v>
      </c>
      <c r="B389" t="s">
        <v>570</v>
      </c>
      <c r="C389" t="s">
        <v>47</v>
      </c>
      <c r="D389" t="s">
        <v>571</v>
      </c>
      <c r="E389" t="s">
        <v>28</v>
      </c>
      <c r="F389" t="s">
        <v>29</v>
      </c>
      <c r="G389" t="s">
        <v>30</v>
      </c>
      <c r="H389" t="s">
        <v>153</v>
      </c>
      <c r="J389" t="s">
        <v>572</v>
      </c>
      <c r="K389" t="s">
        <v>186</v>
      </c>
      <c r="L389" t="s">
        <v>577</v>
      </c>
      <c r="M389" t="s">
        <v>578</v>
      </c>
      <c r="N389" s="3" t="s">
        <v>59</v>
      </c>
      <c r="O389" s="3" t="s">
        <v>59</v>
      </c>
      <c r="P389" s="3" t="s">
        <v>59</v>
      </c>
      <c r="Q389" s="3" t="s">
        <v>59</v>
      </c>
      <c r="R389" s="3" t="s">
        <v>59</v>
      </c>
      <c r="S389" s="3">
        <v>85.6</v>
      </c>
      <c r="T389" s="3" t="s">
        <v>59</v>
      </c>
      <c r="U389" s="3" t="s">
        <v>59</v>
      </c>
      <c r="V389" s="3" t="s">
        <v>59</v>
      </c>
      <c r="W389" s="3" t="s">
        <v>59</v>
      </c>
      <c r="X389" s="3" t="s">
        <v>59</v>
      </c>
      <c r="Y389" s="3" t="s">
        <v>59</v>
      </c>
    </row>
    <row r="390" spans="1:25" hidden="1" x14ac:dyDescent="0.3">
      <c r="A390">
        <v>389</v>
      </c>
      <c r="B390" t="s">
        <v>570</v>
      </c>
      <c r="C390" t="s">
        <v>47</v>
      </c>
      <c r="D390" t="s">
        <v>571</v>
      </c>
      <c r="E390" t="s">
        <v>28</v>
      </c>
      <c r="F390" t="s">
        <v>29</v>
      </c>
      <c r="G390" t="s">
        <v>30</v>
      </c>
      <c r="H390" t="s">
        <v>153</v>
      </c>
      <c r="J390" t="s">
        <v>572</v>
      </c>
      <c r="K390" t="s">
        <v>186</v>
      </c>
      <c r="L390" t="s">
        <v>579</v>
      </c>
      <c r="M390" t="s">
        <v>580</v>
      </c>
      <c r="N390" s="3" t="s">
        <v>59</v>
      </c>
      <c r="O390" s="3" t="s">
        <v>59</v>
      </c>
      <c r="P390" s="3" t="s">
        <v>59</v>
      </c>
      <c r="Q390" s="3" t="s">
        <v>59</v>
      </c>
      <c r="R390" s="3" t="s">
        <v>59</v>
      </c>
      <c r="S390" s="3">
        <v>82.5</v>
      </c>
      <c r="T390" s="3" t="s">
        <v>59</v>
      </c>
      <c r="U390" s="3" t="s">
        <v>59</v>
      </c>
      <c r="V390" s="3" t="s">
        <v>59</v>
      </c>
      <c r="W390" s="3" t="s">
        <v>59</v>
      </c>
      <c r="X390" s="3" t="s">
        <v>59</v>
      </c>
      <c r="Y390" s="3" t="s">
        <v>59</v>
      </c>
    </row>
    <row r="391" spans="1:25" hidden="1" x14ac:dyDescent="0.3">
      <c r="A391">
        <v>389</v>
      </c>
      <c r="B391" t="s">
        <v>570</v>
      </c>
      <c r="C391" t="s">
        <v>47</v>
      </c>
      <c r="D391" t="s">
        <v>571</v>
      </c>
      <c r="E391" t="s">
        <v>28</v>
      </c>
      <c r="F391" t="s">
        <v>29</v>
      </c>
      <c r="G391" t="s">
        <v>30</v>
      </c>
      <c r="H391" t="s">
        <v>153</v>
      </c>
      <c r="J391" t="s">
        <v>572</v>
      </c>
      <c r="K391" t="s">
        <v>186</v>
      </c>
      <c r="L391" t="s">
        <v>581</v>
      </c>
      <c r="M391" t="s">
        <v>582</v>
      </c>
      <c r="N391" s="3" t="s">
        <v>59</v>
      </c>
      <c r="O391" s="3" t="s">
        <v>59</v>
      </c>
      <c r="P391" s="3" t="s">
        <v>59</v>
      </c>
      <c r="Q391" s="3" t="s">
        <v>59</v>
      </c>
      <c r="R391" s="3" t="s">
        <v>59</v>
      </c>
      <c r="S391" s="3">
        <v>85.1</v>
      </c>
      <c r="T391" s="3" t="s">
        <v>59</v>
      </c>
      <c r="U391" s="3" t="s">
        <v>59</v>
      </c>
      <c r="V391" s="3" t="s">
        <v>59</v>
      </c>
      <c r="W391" s="3" t="s">
        <v>59</v>
      </c>
      <c r="X391" s="3" t="s">
        <v>59</v>
      </c>
      <c r="Y391" s="3" t="s">
        <v>59</v>
      </c>
    </row>
    <row r="392" spans="1:25" hidden="1" x14ac:dyDescent="0.3">
      <c r="A392">
        <v>389</v>
      </c>
      <c r="B392" t="s">
        <v>570</v>
      </c>
      <c r="C392" t="s">
        <v>47</v>
      </c>
      <c r="D392" t="s">
        <v>571</v>
      </c>
      <c r="E392" t="s">
        <v>28</v>
      </c>
      <c r="F392" t="s">
        <v>29</v>
      </c>
      <c r="G392" t="s">
        <v>30</v>
      </c>
      <c r="H392" t="s">
        <v>153</v>
      </c>
      <c r="J392" t="s">
        <v>572</v>
      </c>
      <c r="K392" t="s">
        <v>186</v>
      </c>
      <c r="L392" t="s">
        <v>583</v>
      </c>
      <c r="M392" t="s">
        <v>584</v>
      </c>
      <c r="N392" s="3" t="s">
        <v>59</v>
      </c>
      <c r="O392" s="3" t="s">
        <v>59</v>
      </c>
      <c r="P392" s="3" t="s">
        <v>59</v>
      </c>
      <c r="Q392" s="3" t="s">
        <v>59</v>
      </c>
      <c r="R392" s="3" t="s">
        <v>59</v>
      </c>
      <c r="S392" s="3">
        <v>85.4</v>
      </c>
      <c r="T392" s="3" t="s">
        <v>59</v>
      </c>
      <c r="U392" s="3" t="s">
        <v>59</v>
      </c>
      <c r="V392" s="3" t="s">
        <v>59</v>
      </c>
      <c r="W392" s="3" t="s">
        <v>59</v>
      </c>
      <c r="X392" s="3" t="s">
        <v>59</v>
      </c>
      <c r="Y392" s="3" t="s">
        <v>59</v>
      </c>
    </row>
    <row r="393" spans="1:25" hidden="1" x14ac:dyDescent="0.3">
      <c r="A393">
        <v>389</v>
      </c>
      <c r="B393" t="s">
        <v>570</v>
      </c>
      <c r="C393" t="s">
        <v>47</v>
      </c>
      <c r="D393" t="s">
        <v>571</v>
      </c>
      <c r="E393" t="s">
        <v>28</v>
      </c>
      <c r="F393" t="s">
        <v>29</v>
      </c>
      <c r="G393" t="s">
        <v>30</v>
      </c>
      <c r="H393" t="s">
        <v>153</v>
      </c>
      <c r="J393" t="s">
        <v>572</v>
      </c>
      <c r="K393" t="s">
        <v>186</v>
      </c>
      <c r="L393" t="s">
        <v>585</v>
      </c>
      <c r="M393" t="s">
        <v>586</v>
      </c>
      <c r="N393" s="3" t="s">
        <v>59</v>
      </c>
      <c r="O393" s="3" t="s">
        <v>59</v>
      </c>
      <c r="P393" s="3" t="s">
        <v>59</v>
      </c>
      <c r="Q393" s="3" t="s">
        <v>59</v>
      </c>
      <c r="R393" s="3" t="s">
        <v>59</v>
      </c>
      <c r="S393" s="3">
        <v>81.5</v>
      </c>
      <c r="T393" s="3" t="s">
        <v>59</v>
      </c>
      <c r="U393" s="3" t="s">
        <v>59</v>
      </c>
      <c r="V393" s="3" t="s">
        <v>59</v>
      </c>
      <c r="W393" s="3" t="s">
        <v>59</v>
      </c>
      <c r="X393" s="3" t="s">
        <v>59</v>
      </c>
      <c r="Y393" s="3" t="s">
        <v>59</v>
      </c>
    </row>
    <row r="394" spans="1:25" hidden="1" x14ac:dyDescent="0.3">
      <c r="A394">
        <v>389</v>
      </c>
      <c r="B394" t="s">
        <v>570</v>
      </c>
      <c r="C394" t="s">
        <v>47</v>
      </c>
      <c r="D394" t="s">
        <v>571</v>
      </c>
      <c r="E394" t="s">
        <v>28</v>
      </c>
      <c r="F394" t="s">
        <v>29</v>
      </c>
      <c r="G394" t="s">
        <v>30</v>
      </c>
      <c r="H394" t="s">
        <v>153</v>
      </c>
      <c r="J394" t="s">
        <v>572</v>
      </c>
      <c r="K394" t="s">
        <v>186</v>
      </c>
      <c r="L394" t="s">
        <v>587</v>
      </c>
      <c r="M394" t="s">
        <v>588</v>
      </c>
      <c r="N394" s="3" t="s">
        <v>59</v>
      </c>
      <c r="O394" s="3" t="s">
        <v>59</v>
      </c>
      <c r="P394" s="3" t="s">
        <v>59</v>
      </c>
      <c r="Q394" s="3" t="s">
        <v>59</v>
      </c>
      <c r="R394" s="3" t="s">
        <v>59</v>
      </c>
      <c r="S394" s="3">
        <v>90.1</v>
      </c>
      <c r="T394" s="3" t="s">
        <v>59</v>
      </c>
      <c r="U394" s="3" t="s">
        <v>59</v>
      </c>
      <c r="V394" s="3" t="s">
        <v>59</v>
      </c>
      <c r="W394" s="3" t="s">
        <v>59</v>
      </c>
      <c r="X394" s="3" t="s">
        <v>59</v>
      </c>
      <c r="Y394" s="3" t="s">
        <v>59</v>
      </c>
    </row>
    <row r="395" spans="1:25" hidden="1" x14ac:dyDescent="0.3">
      <c r="A395">
        <v>389</v>
      </c>
      <c r="B395" t="s">
        <v>570</v>
      </c>
      <c r="C395" t="s">
        <v>47</v>
      </c>
      <c r="D395" t="s">
        <v>571</v>
      </c>
      <c r="E395" t="s">
        <v>28</v>
      </c>
      <c r="F395" t="s">
        <v>29</v>
      </c>
      <c r="G395" t="s">
        <v>30</v>
      </c>
      <c r="H395" t="s">
        <v>153</v>
      </c>
      <c r="J395" t="s">
        <v>572</v>
      </c>
      <c r="K395" t="s">
        <v>186</v>
      </c>
      <c r="L395" t="s">
        <v>589</v>
      </c>
      <c r="M395" t="s">
        <v>590</v>
      </c>
      <c r="N395" s="3" t="s">
        <v>59</v>
      </c>
      <c r="O395" s="3" t="s">
        <v>59</v>
      </c>
      <c r="P395" s="3" t="s">
        <v>59</v>
      </c>
      <c r="Q395" s="3" t="s">
        <v>59</v>
      </c>
      <c r="R395" s="3" t="s">
        <v>59</v>
      </c>
      <c r="S395" s="3">
        <v>80.900000000000006</v>
      </c>
      <c r="T395" s="3" t="s">
        <v>59</v>
      </c>
      <c r="U395" s="3" t="s">
        <v>59</v>
      </c>
      <c r="V395" s="3" t="s">
        <v>59</v>
      </c>
      <c r="W395" s="3" t="s">
        <v>59</v>
      </c>
      <c r="X395" s="3" t="s">
        <v>59</v>
      </c>
      <c r="Y395" s="3" t="s">
        <v>59</v>
      </c>
    </row>
    <row r="396" spans="1:25" hidden="1" x14ac:dyDescent="0.3">
      <c r="A396">
        <v>389</v>
      </c>
      <c r="B396" t="s">
        <v>570</v>
      </c>
      <c r="C396" t="s">
        <v>47</v>
      </c>
      <c r="D396" t="s">
        <v>571</v>
      </c>
      <c r="E396" t="s">
        <v>28</v>
      </c>
      <c r="F396" t="s">
        <v>29</v>
      </c>
      <c r="G396" t="s">
        <v>30</v>
      </c>
      <c r="H396" t="s">
        <v>153</v>
      </c>
      <c r="J396" t="s">
        <v>572</v>
      </c>
      <c r="K396" t="s">
        <v>186</v>
      </c>
      <c r="L396" t="s">
        <v>591</v>
      </c>
      <c r="M396" t="s">
        <v>592</v>
      </c>
      <c r="N396" s="3" t="s">
        <v>59</v>
      </c>
      <c r="O396" s="3" t="s">
        <v>59</v>
      </c>
      <c r="P396" s="3" t="s">
        <v>59</v>
      </c>
      <c r="Q396" s="3" t="s">
        <v>59</v>
      </c>
      <c r="R396" s="3" t="s">
        <v>59</v>
      </c>
      <c r="S396" s="3">
        <v>81</v>
      </c>
      <c r="T396" s="3" t="s">
        <v>59</v>
      </c>
      <c r="U396" s="3" t="s">
        <v>59</v>
      </c>
      <c r="V396" s="3" t="s">
        <v>59</v>
      </c>
      <c r="W396" s="3" t="s">
        <v>59</v>
      </c>
      <c r="X396" s="3" t="s">
        <v>59</v>
      </c>
      <c r="Y396" s="3" t="s">
        <v>59</v>
      </c>
    </row>
    <row r="397" spans="1:25" hidden="1" x14ac:dyDescent="0.3">
      <c r="A397">
        <v>389</v>
      </c>
      <c r="B397" t="s">
        <v>570</v>
      </c>
      <c r="C397" t="s">
        <v>47</v>
      </c>
      <c r="D397" t="s">
        <v>571</v>
      </c>
      <c r="E397" t="s">
        <v>28</v>
      </c>
      <c r="F397" t="s">
        <v>29</v>
      </c>
      <c r="G397" t="s">
        <v>30</v>
      </c>
      <c r="H397" t="s">
        <v>153</v>
      </c>
      <c r="J397" t="s">
        <v>572</v>
      </c>
      <c r="K397" t="s">
        <v>186</v>
      </c>
      <c r="L397" t="s">
        <v>593</v>
      </c>
      <c r="M397" t="s">
        <v>594</v>
      </c>
      <c r="N397" s="3" t="s">
        <v>59</v>
      </c>
      <c r="O397" s="3" t="s">
        <v>59</v>
      </c>
      <c r="P397" s="3" t="s">
        <v>59</v>
      </c>
      <c r="Q397" s="3" t="s">
        <v>59</v>
      </c>
      <c r="R397" s="3" t="s">
        <v>59</v>
      </c>
      <c r="S397" s="3">
        <v>86.7</v>
      </c>
      <c r="T397" s="3" t="s">
        <v>59</v>
      </c>
      <c r="U397" s="3" t="s">
        <v>59</v>
      </c>
      <c r="V397" s="3" t="s">
        <v>59</v>
      </c>
      <c r="W397" s="3" t="s">
        <v>59</v>
      </c>
      <c r="X397" s="3" t="s">
        <v>59</v>
      </c>
      <c r="Y397" s="3" t="s">
        <v>59</v>
      </c>
    </row>
    <row r="398" spans="1:25" hidden="1" x14ac:dyDescent="0.3">
      <c r="A398">
        <v>389</v>
      </c>
      <c r="B398" t="s">
        <v>570</v>
      </c>
      <c r="C398" t="s">
        <v>47</v>
      </c>
      <c r="D398" t="s">
        <v>571</v>
      </c>
      <c r="E398" t="s">
        <v>28</v>
      </c>
      <c r="F398" t="s">
        <v>29</v>
      </c>
      <c r="G398" t="s">
        <v>30</v>
      </c>
      <c r="H398" t="s">
        <v>153</v>
      </c>
      <c r="J398" t="s">
        <v>572</v>
      </c>
      <c r="K398" t="s">
        <v>186</v>
      </c>
      <c r="L398" t="s">
        <v>595</v>
      </c>
      <c r="M398" t="s">
        <v>596</v>
      </c>
      <c r="N398" s="3" t="s">
        <v>59</v>
      </c>
      <c r="O398" s="3" t="s">
        <v>59</v>
      </c>
      <c r="P398" s="3" t="s">
        <v>59</v>
      </c>
      <c r="Q398" s="3" t="s">
        <v>59</v>
      </c>
      <c r="R398" s="3" t="s">
        <v>59</v>
      </c>
      <c r="S398" s="3">
        <v>86.2</v>
      </c>
      <c r="T398" s="3" t="s">
        <v>59</v>
      </c>
      <c r="U398" s="3" t="s">
        <v>59</v>
      </c>
      <c r="V398" s="3" t="s">
        <v>59</v>
      </c>
      <c r="W398" s="3" t="s">
        <v>59</v>
      </c>
      <c r="X398" s="3" t="s">
        <v>59</v>
      </c>
      <c r="Y398" s="3" t="s">
        <v>59</v>
      </c>
    </row>
    <row r="399" spans="1:25" hidden="1" x14ac:dyDescent="0.3">
      <c r="A399" s="1">
        <v>397</v>
      </c>
      <c r="B399" s="1" t="s">
        <v>609</v>
      </c>
      <c r="C399" s="1" t="s">
        <v>26</v>
      </c>
      <c r="D399" s="1" t="s">
        <v>610</v>
      </c>
      <c r="E399" s="1" t="s">
        <v>28</v>
      </c>
      <c r="F399" s="1" t="s">
        <v>29</v>
      </c>
      <c r="G399" s="1" t="s">
        <v>30</v>
      </c>
      <c r="H399" s="1" t="s">
        <v>31</v>
      </c>
      <c r="I399" s="1">
        <v>90</v>
      </c>
      <c r="J399" s="1" t="s">
        <v>611</v>
      </c>
      <c r="K399" s="1" t="s">
        <v>33</v>
      </c>
      <c r="L399" s="1" t="s">
        <v>33</v>
      </c>
      <c r="M399" s="1" t="s">
        <v>34</v>
      </c>
      <c r="N399" s="5">
        <v>96.14</v>
      </c>
      <c r="O399" s="5">
        <v>95.26</v>
      </c>
      <c r="P399" s="5">
        <v>94.88</v>
      </c>
      <c r="Q399" s="5">
        <v>88.08</v>
      </c>
      <c r="R399" s="5">
        <v>92.96</v>
      </c>
      <c r="S399" s="5">
        <v>91.071428571428996</v>
      </c>
      <c r="T399" s="3"/>
      <c r="U399" s="3"/>
      <c r="V399" s="3"/>
      <c r="W399" s="3"/>
      <c r="X399" s="3"/>
      <c r="Y399" s="3"/>
    </row>
    <row r="400" spans="1:25" hidden="1" x14ac:dyDescent="0.3">
      <c r="A400" s="1">
        <v>398</v>
      </c>
      <c r="B400" s="1" t="s">
        <v>612</v>
      </c>
      <c r="C400" s="1" t="s">
        <v>26</v>
      </c>
      <c r="D400" s="1" t="s">
        <v>613</v>
      </c>
      <c r="E400" s="1" t="s">
        <v>28</v>
      </c>
      <c r="F400" s="1" t="s">
        <v>29</v>
      </c>
      <c r="G400" s="1" t="s">
        <v>30</v>
      </c>
      <c r="H400" s="1" t="s">
        <v>31</v>
      </c>
      <c r="I400" s="1">
        <v>100</v>
      </c>
      <c r="J400" s="1" t="s">
        <v>614</v>
      </c>
      <c r="K400" s="1" t="s">
        <v>33</v>
      </c>
      <c r="L400" s="1" t="s">
        <v>33</v>
      </c>
      <c r="M400" s="1" t="s">
        <v>34</v>
      </c>
      <c r="N400" s="5">
        <v>168.71</v>
      </c>
      <c r="O400" s="5">
        <v>159.5</v>
      </c>
      <c r="P400" s="5">
        <v>160</v>
      </c>
      <c r="Q400" s="5">
        <v>283.92</v>
      </c>
      <c r="R400" s="5">
        <v>234.4</v>
      </c>
      <c r="S400" s="5">
        <v>256.8</v>
      </c>
      <c r="T400" s="3"/>
      <c r="U400" s="3"/>
      <c r="V400" s="3"/>
      <c r="W400" s="3"/>
      <c r="X400" s="3"/>
      <c r="Y400" s="3"/>
    </row>
    <row r="401" spans="1:25" hidden="1" x14ac:dyDescent="0.3">
      <c r="A401" s="1">
        <v>399</v>
      </c>
      <c r="B401" s="1" t="s">
        <v>615</v>
      </c>
      <c r="C401" s="1" t="s">
        <v>26</v>
      </c>
      <c r="D401" s="1" t="s">
        <v>613</v>
      </c>
      <c r="E401" s="1" t="s">
        <v>28</v>
      </c>
      <c r="F401" s="1" t="s">
        <v>29</v>
      </c>
      <c r="G401" s="1" t="s">
        <v>30</v>
      </c>
      <c r="H401" s="1" t="s">
        <v>31</v>
      </c>
      <c r="I401" s="1">
        <v>100</v>
      </c>
      <c r="J401" s="1" t="s">
        <v>616</v>
      </c>
      <c r="K401" s="1" t="s">
        <v>33</v>
      </c>
      <c r="L401" s="1" t="s">
        <v>33</v>
      </c>
      <c r="M401" s="1" t="s">
        <v>34</v>
      </c>
      <c r="N401" s="5">
        <v>106.13</v>
      </c>
      <c r="O401" s="5">
        <v>102.93</v>
      </c>
      <c r="P401" s="5">
        <v>111.36</v>
      </c>
      <c r="Q401" s="5">
        <v>111.36</v>
      </c>
      <c r="R401" s="5">
        <v>149</v>
      </c>
      <c r="S401" s="5">
        <v>117.8</v>
      </c>
      <c r="T401" s="3"/>
      <c r="U401" s="3"/>
      <c r="V401" s="3"/>
      <c r="W401" s="3"/>
      <c r="X401" s="3"/>
      <c r="Y401" s="3"/>
    </row>
    <row r="402" spans="1:25" hidden="1" x14ac:dyDescent="0.3">
      <c r="A402" s="1">
        <v>400</v>
      </c>
      <c r="B402" s="1" t="s">
        <v>617</v>
      </c>
      <c r="C402" s="1" t="s">
        <v>26</v>
      </c>
      <c r="D402" s="1" t="s">
        <v>613</v>
      </c>
      <c r="E402" s="1" t="s">
        <v>28</v>
      </c>
      <c r="F402" s="1" t="s">
        <v>29</v>
      </c>
      <c r="G402" s="1" t="s">
        <v>30</v>
      </c>
      <c r="H402" s="1" t="s">
        <v>31</v>
      </c>
      <c r="I402" s="1">
        <v>100</v>
      </c>
      <c r="J402" s="1" t="s">
        <v>618</v>
      </c>
      <c r="K402" s="1" t="s">
        <v>33</v>
      </c>
      <c r="L402" s="1" t="s">
        <v>33</v>
      </c>
      <c r="M402" s="1" t="s">
        <v>34</v>
      </c>
      <c r="N402" s="5">
        <v>127.14</v>
      </c>
      <c r="O402" s="5">
        <v>123</v>
      </c>
      <c r="P402" s="5">
        <v>397.73</v>
      </c>
      <c r="Q402" s="5">
        <v>270.45</v>
      </c>
      <c r="R402" s="5">
        <v>282.86</v>
      </c>
      <c r="S402" s="5">
        <v>220</v>
      </c>
      <c r="T402" s="3"/>
      <c r="U402" s="3"/>
      <c r="V402" s="3"/>
      <c r="W402" s="3"/>
      <c r="X402" s="3"/>
      <c r="Y402" s="3"/>
    </row>
    <row r="403" spans="1:25" hidden="1" x14ac:dyDescent="0.3">
      <c r="A403" s="1">
        <v>401</v>
      </c>
      <c r="B403" s="1" t="s">
        <v>619</v>
      </c>
      <c r="C403" s="1" t="s">
        <v>26</v>
      </c>
      <c r="D403" s="1" t="s">
        <v>620</v>
      </c>
      <c r="E403" s="1" t="s">
        <v>28</v>
      </c>
      <c r="F403" s="1" t="s">
        <v>29</v>
      </c>
      <c r="G403" s="1" t="s">
        <v>30</v>
      </c>
      <c r="H403" s="1" t="s">
        <v>31</v>
      </c>
      <c r="I403" s="1">
        <v>100</v>
      </c>
      <c r="J403" s="1" t="s">
        <v>621</v>
      </c>
      <c r="K403" s="1" t="s">
        <v>33</v>
      </c>
      <c r="L403" s="1" t="s">
        <v>33</v>
      </c>
      <c r="M403" s="1" t="s">
        <v>34</v>
      </c>
      <c r="N403" s="4">
        <v>100</v>
      </c>
      <c r="O403" s="4">
        <v>100</v>
      </c>
      <c r="P403" s="5">
        <v>100</v>
      </c>
      <c r="Q403" s="5">
        <v>112.5</v>
      </c>
      <c r="R403" s="5">
        <v>125</v>
      </c>
      <c r="S403" s="6">
        <v>87.5</v>
      </c>
      <c r="T403" s="3"/>
      <c r="U403" s="3"/>
      <c r="V403" s="3"/>
      <c r="W403" s="3"/>
      <c r="X403" s="3"/>
      <c r="Y403" s="3"/>
    </row>
    <row r="404" spans="1:25" hidden="1" x14ac:dyDescent="0.3">
      <c r="A404" s="1">
        <v>403</v>
      </c>
      <c r="B404" s="1" t="s">
        <v>624</v>
      </c>
      <c r="C404" s="1" t="s">
        <v>47</v>
      </c>
      <c r="D404" s="1" t="s">
        <v>620</v>
      </c>
      <c r="E404" s="1" t="s">
        <v>116</v>
      </c>
      <c r="F404" s="1" t="s">
        <v>29</v>
      </c>
      <c r="G404" s="1" t="s">
        <v>30</v>
      </c>
      <c r="H404" s="1" t="s">
        <v>31</v>
      </c>
      <c r="I404" s="1" t="s">
        <v>117</v>
      </c>
      <c r="J404" s="1" t="s">
        <v>625</v>
      </c>
      <c r="K404" s="1" t="s">
        <v>33</v>
      </c>
      <c r="L404" s="1" t="s">
        <v>33</v>
      </c>
      <c r="M404" s="1" t="s">
        <v>34</v>
      </c>
      <c r="N404" s="8">
        <v>12510</v>
      </c>
      <c r="O404" s="8">
        <v>14410</v>
      </c>
      <c r="P404" s="8">
        <v>14495</v>
      </c>
      <c r="Q404" s="8">
        <v>14923</v>
      </c>
      <c r="R404" s="8">
        <v>28639</v>
      </c>
      <c r="S404" s="8">
        <v>14370</v>
      </c>
      <c r="T404" s="3"/>
      <c r="U404" s="3"/>
      <c r="V404" s="3"/>
      <c r="W404" s="3"/>
      <c r="X404" s="3"/>
      <c r="Y404" s="3"/>
    </row>
    <row r="405" spans="1:25" hidden="1" x14ac:dyDescent="0.3">
      <c r="A405" s="1">
        <v>408</v>
      </c>
      <c r="B405" s="1" t="s">
        <v>626</v>
      </c>
      <c r="C405" s="1" t="s">
        <v>47</v>
      </c>
      <c r="D405" s="1" t="s">
        <v>465</v>
      </c>
      <c r="E405" s="1" t="s">
        <v>28</v>
      </c>
      <c r="F405" s="1" t="s">
        <v>29</v>
      </c>
      <c r="G405" s="1" t="s">
        <v>30</v>
      </c>
      <c r="H405" s="1" t="s">
        <v>153</v>
      </c>
      <c r="I405" s="1">
        <v>100</v>
      </c>
      <c r="J405" s="1" t="s">
        <v>627</v>
      </c>
      <c r="K405" s="1" t="s">
        <v>155</v>
      </c>
      <c r="L405" s="1" t="s">
        <v>34</v>
      </c>
      <c r="M405" s="1" t="s">
        <v>34</v>
      </c>
      <c r="N405" s="4">
        <v>100</v>
      </c>
      <c r="O405" s="4">
        <v>100</v>
      </c>
      <c r="P405" s="4">
        <v>100</v>
      </c>
      <c r="Q405" s="3" t="s">
        <v>59</v>
      </c>
      <c r="R405" s="4">
        <v>100</v>
      </c>
      <c r="S405" s="3" t="s">
        <v>59</v>
      </c>
      <c r="T405" s="3" t="s">
        <v>59</v>
      </c>
      <c r="U405" s="3" t="s">
        <v>59</v>
      </c>
      <c r="V405" s="3" t="s">
        <v>59</v>
      </c>
      <c r="W405" s="3" t="s">
        <v>59</v>
      </c>
      <c r="X405" s="3" t="s">
        <v>59</v>
      </c>
      <c r="Y405" s="3" t="s">
        <v>59</v>
      </c>
    </row>
    <row r="406" spans="1:25" hidden="1" x14ac:dyDescent="0.3">
      <c r="A406">
        <v>408</v>
      </c>
      <c r="B406" t="s">
        <v>626</v>
      </c>
      <c r="C406" t="s">
        <v>47</v>
      </c>
      <c r="D406" t="s">
        <v>465</v>
      </c>
      <c r="E406" t="s">
        <v>28</v>
      </c>
      <c r="F406" t="s">
        <v>29</v>
      </c>
      <c r="G406" t="s">
        <v>30</v>
      </c>
      <c r="H406" t="s">
        <v>153</v>
      </c>
      <c r="I406">
        <v>100</v>
      </c>
      <c r="J406" t="s">
        <v>627</v>
      </c>
      <c r="K406" t="s">
        <v>155</v>
      </c>
      <c r="L406" t="s">
        <v>628</v>
      </c>
      <c r="M406" t="s">
        <v>629</v>
      </c>
      <c r="N406" s="3" t="s">
        <v>59</v>
      </c>
      <c r="O406" s="3" t="s">
        <v>59</v>
      </c>
      <c r="P406" s="3">
        <v>100</v>
      </c>
      <c r="Q406" s="3" t="s">
        <v>59</v>
      </c>
      <c r="R406" s="3">
        <v>100</v>
      </c>
      <c r="S406" s="3" t="s">
        <v>59</v>
      </c>
      <c r="T406" s="3" t="s">
        <v>59</v>
      </c>
      <c r="U406" s="3" t="s">
        <v>59</v>
      </c>
      <c r="V406" s="3" t="s">
        <v>59</v>
      </c>
      <c r="W406" s="3" t="s">
        <v>59</v>
      </c>
      <c r="X406" s="3" t="s">
        <v>59</v>
      </c>
      <c r="Y406" s="3" t="s">
        <v>59</v>
      </c>
    </row>
    <row r="407" spans="1:25" hidden="1" x14ac:dyDescent="0.3">
      <c r="A407">
        <v>408</v>
      </c>
      <c r="B407" t="s">
        <v>626</v>
      </c>
      <c r="C407" t="s">
        <v>47</v>
      </c>
      <c r="D407" t="s">
        <v>465</v>
      </c>
      <c r="E407" t="s">
        <v>28</v>
      </c>
      <c r="F407" t="s">
        <v>29</v>
      </c>
      <c r="G407" t="s">
        <v>30</v>
      </c>
      <c r="H407" t="s">
        <v>153</v>
      </c>
      <c r="I407">
        <v>100</v>
      </c>
      <c r="J407" t="s">
        <v>627</v>
      </c>
      <c r="K407" t="s">
        <v>155</v>
      </c>
      <c r="L407" t="s">
        <v>630</v>
      </c>
      <c r="M407" t="s">
        <v>631</v>
      </c>
      <c r="N407" s="3" t="s">
        <v>59</v>
      </c>
      <c r="O407" s="3" t="s">
        <v>59</v>
      </c>
      <c r="P407" s="3">
        <v>100</v>
      </c>
      <c r="Q407" s="3" t="s">
        <v>59</v>
      </c>
      <c r="R407" s="3">
        <v>100</v>
      </c>
      <c r="S407" s="3" t="s">
        <v>59</v>
      </c>
      <c r="T407" s="3" t="s">
        <v>59</v>
      </c>
      <c r="U407" s="3" t="s">
        <v>59</v>
      </c>
      <c r="V407" s="3" t="s">
        <v>59</v>
      </c>
      <c r="W407" s="3" t="s">
        <v>59</v>
      </c>
      <c r="X407" s="3" t="s">
        <v>59</v>
      </c>
      <c r="Y407" s="3" t="s">
        <v>59</v>
      </c>
    </row>
    <row r="408" spans="1:25" hidden="1" x14ac:dyDescent="0.3">
      <c r="A408">
        <v>408</v>
      </c>
      <c r="B408" t="s">
        <v>626</v>
      </c>
      <c r="C408" t="s">
        <v>47</v>
      </c>
      <c r="D408" t="s">
        <v>465</v>
      </c>
      <c r="E408" t="s">
        <v>28</v>
      </c>
      <c r="F408" t="s">
        <v>29</v>
      </c>
      <c r="G408" t="s">
        <v>30</v>
      </c>
      <c r="H408" t="s">
        <v>153</v>
      </c>
      <c r="I408">
        <v>100</v>
      </c>
      <c r="J408" t="s">
        <v>627</v>
      </c>
      <c r="K408" t="s">
        <v>155</v>
      </c>
      <c r="L408" t="s">
        <v>632</v>
      </c>
      <c r="M408" t="s">
        <v>633</v>
      </c>
      <c r="N408" s="3">
        <v>100</v>
      </c>
      <c r="O408" s="3">
        <v>100</v>
      </c>
      <c r="P408" s="3">
        <v>100</v>
      </c>
      <c r="Q408" s="3" t="s">
        <v>59</v>
      </c>
      <c r="R408" s="3">
        <v>100</v>
      </c>
      <c r="S408" s="3" t="s">
        <v>59</v>
      </c>
      <c r="T408" s="3" t="s">
        <v>59</v>
      </c>
      <c r="U408" s="3" t="s">
        <v>59</v>
      </c>
      <c r="V408" s="3" t="s">
        <v>59</v>
      </c>
      <c r="W408" s="3" t="s">
        <v>59</v>
      </c>
      <c r="X408" s="3" t="s">
        <v>59</v>
      </c>
      <c r="Y408" s="3" t="s">
        <v>59</v>
      </c>
    </row>
    <row r="409" spans="1:25" hidden="1" x14ac:dyDescent="0.3">
      <c r="A409" s="1">
        <v>422</v>
      </c>
      <c r="B409" s="1" t="s">
        <v>750</v>
      </c>
      <c r="C409" s="1" t="s">
        <v>47</v>
      </c>
      <c r="D409" s="1" t="s">
        <v>751</v>
      </c>
      <c r="E409" s="1" t="s">
        <v>28</v>
      </c>
      <c r="F409" s="1" t="s">
        <v>29</v>
      </c>
      <c r="G409" s="1" t="s">
        <v>30</v>
      </c>
      <c r="H409" s="1" t="s">
        <v>31</v>
      </c>
      <c r="I409" s="1">
        <v>7.68</v>
      </c>
      <c r="J409" s="1" t="s">
        <v>752</v>
      </c>
      <c r="K409" s="1" t="s">
        <v>33</v>
      </c>
      <c r="L409" s="1" t="s">
        <v>33</v>
      </c>
      <c r="M409" s="1" t="s">
        <v>34</v>
      </c>
      <c r="N409" s="4">
        <v>7.87</v>
      </c>
      <c r="O409" s="5">
        <v>8.1999999999999993</v>
      </c>
      <c r="P409" s="6">
        <v>7.91</v>
      </c>
      <c r="Q409" s="6">
        <v>8.86</v>
      </c>
      <c r="R409" s="5">
        <v>11.04</v>
      </c>
      <c r="S409" s="5">
        <v>11.973211368834001</v>
      </c>
      <c r="T409" s="3"/>
      <c r="U409" s="3"/>
      <c r="V409" s="3"/>
      <c r="W409" s="3"/>
      <c r="X409" s="3"/>
      <c r="Y409" s="3"/>
    </row>
    <row r="410" spans="1:25" hidden="1" x14ac:dyDescent="0.3">
      <c r="A410" s="1">
        <v>426</v>
      </c>
      <c r="B410" s="1" t="s">
        <v>757</v>
      </c>
      <c r="C410" s="1" t="s">
        <v>26</v>
      </c>
      <c r="D410" s="1" t="s">
        <v>83</v>
      </c>
      <c r="E410" s="1" t="s">
        <v>28</v>
      </c>
      <c r="F410" s="1" t="s">
        <v>29</v>
      </c>
      <c r="G410" s="1" t="s">
        <v>30</v>
      </c>
      <c r="H410" s="1" t="s">
        <v>31</v>
      </c>
      <c r="I410" s="1"/>
      <c r="J410" s="1" t="s">
        <v>758</v>
      </c>
      <c r="K410" s="1" t="s">
        <v>33</v>
      </c>
      <c r="L410" s="1" t="s">
        <v>33</v>
      </c>
      <c r="M410" s="1" t="s">
        <v>34</v>
      </c>
      <c r="N410" s="3"/>
      <c r="O410" s="3"/>
      <c r="P410" s="4">
        <v>86.72</v>
      </c>
      <c r="Q410" s="6">
        <v>60.27</v>
      </c>
      <c r="R410" s="9">
        <v>92.31</v>
      </c>
      <c r="S410" s="9">
        <v>86.98</v>
      </c>
      <c r="T410" s="3"/>
      <c r="U410" s="3"/>
      <c r="V410" s="3"/>
      <c r="W410" s="3"/>
      <c r="X410" s="3"/>
      <c r="Y410" s="3"/>
    </row>
    <row r="411" spans="1:25" hidden="1" x14ac:dyDescent="0.3">
      <c r="A411" s="1">
        <v>427</v>
      </c>
      <c r="B411" s="1" t="s">
        <v>759</v>
      </c>
      <c r="C411" s="1" t="s">
        <v>26</v>
      </c>
      <c r="D411" s="1" t="s">
        <v>93</v>
      </c>
      <c r="E411" s="1" t="s">
        <v>40</v>
      </c>
      <c r="F411" s="1" t="s">
        <v>29</v>
      </c>
      <c r="G411" s="1" t="s">
        <v>41</v>
      </c>
      <c r="H411" s="1" t="s">
        <v>153</v>
      </c>
      <c r="I411" s="1">
        <v>0.2</v>
      </c>
      <c r="J411" s="1" t="s">
        <v>760</v>
      </c>
      <c r="K411" s="1" t="s">
        <v>207</v>
      </c>
      <c r="L411" s="1" t="s">
        <v>34</v>
      </c>
      <c r="M411" s="1" t="s">
        <v>34</v>
      </c>
      <c r="N411" s="4">
        <v>0.15</v>
      </c>
      <c r="O411" s="5">
        <v>0.14000000000000001</v>
      </c>
      <c r="P411" s="4">
        <v>0.17</v>
      </c>
      <c r="Q411" s="4">
        <v>0.17</v>
      </c>
      <c r="R411" s="4">
        <v>0.2</v>
      </c>
      <c r="S411" s="5">
        <v>0.13666666666666999</v>
      </c>
      <c r="T411" s="5">
        <v>0</v>
      </c>
      <c r="U411" s="5">
        <v>0</v>
      </c>
      <c r="V411" s="5">
        <v>0</v>
      </c>
      <c r="W411" s="5">
        <v>0</v>
      </c>
      <c r="X411" s="3">
        <v>0</v>
      </c>
      <c r="Y411" s="3">
        <v>0</v>
      </c>
    </row>
    <row r="412" spans="1:25" hidden="1" x14ac:dyDescent="0.3">
      <c r="A412">
        <v>427</v>
      </c>
      <c r="B412" t="s">
        <v>759</v>
      </c>
      <c r="C412" t="s">
        <v>26</v>
      </c>
      <c r="D412" t="s">
        <v>93</v>
      </c>
      <c r="E412" t="s">
        <v>40</v>
      </c>
      <c r="F412" t="s">
        <v>29</v>
      </c>
      <c r="G412" t="s">
        <v>41</v>
      </c>
      <c r="H412" t="s">
        <v>153</v>
      </c>
      <c r="I412">
        <v>0.2</v>
      </c>
      <c r="J412" t="s">
        <v>760</v>
      </c>
      <c r="K412" t="s">
        <v>207</v>
      </c>
      <c r="L412" t="s">
        <v>172</v>
      </c>
      <c r="M412" t="s">
        <v>173</v>
      </c>
      <c r="N412" s="3">
        <v>0.21</v>
      </c>
      <c r="O412" s="3">
        <v>0.2</v>
      </c>
      <c r="P412" s="3">
        <v>0.22</v>
      </c>
      <c r="Q412" s="3">
        <v>0.26</v>
      </c>
      <c r="R412" s="3">
        <v>0.24</v>
      </c>
      <c r="S412" s="3">
        <v>0.2</v>
      </c>
      <c r="T412" s="3">
        <v>0.42</v>
      </c>
      <c r="U412" s="3" t="s">
        <v>59</v>
      </c>
      <c r="V412" s="3" t="s">
        <v>59</v>
      </c>
      <c r="W412" s="3" t="s">
        <v>59</v>
      </c>
      <c r="X412" s="3" t="s">
        <v>59</v>
      </c>
      <c r="Y412" s="3" t="s">
        <v>59</v>
      </c>
    </row>
    <row r="413" spans="1:25" hidden="1" x14ac:dyDescent="0.3">
      <c r="A413">
        <v>427</v>
      </c>
      <c r="B413" t="s">
        <v>759</v>
      </c>
      <c r="C413" t="s">
        <v>26</v>
      </c>
      <c r="D413" t="s">
        <v>93</v>
      </c>
      <c r="E413" t="s">
        <v>40</v>
      </c>
      <c r="F413" t="s">
        <v>29</v>
      </c>
      <c r="G413" t="s">
        <v>41</v>
      </c>
      <c r="H413" t="s">
        <v>153</v>
      </c>
      <c r="I413">
        <v>0.2</v>
      </c>
      <c r="J413" t="s">
        <v>760</v>
      </c>
      <c r="K413" t="s">
        <v>207</v>
      </c>
      <c r="L413" t="s">
        <v>174</v>
      </c>
      <c r="M413" t="s">
        <v>175</v>
      </c>
      <c r="N413" s="3">
        <v>0.17</v>
      </c>
      <c r="O413" s="3">
        <v>0.15</v>
      </c>
      <c r="P413" s="3">
        <v>0.14000000000000001</v>
      </c>
      <c r="Q413" s="3">
        <v>0.12</v>
      </c>
      <c r="R413" s="3">
        <v>0.17</v>
      </c>
      <c r="S413" s="3">
        <v>0.14000000000000001</v>
      </c>
      <c r="T413" s="3">
        <v>0.17</v>
      </c>
      <c r="U413" s="3" t="s">
        <v>59</v>
      </c>
      <c r="V413" s="3" t="s">
        <v>59</v>
      </c>
      <c r="W413" s="3" t="s">
        <v>59</v>
      </c>
      <c r="X413" s="3" t="s">
        <v>59</v>
      </c>
      <c r="Y413" s="3" t="s">
        <v>59</v>
      </c>
    </row>
    <row r="414" spans="1:25" hidden="1" x14ac:dyDescent="0.3">
      <c r="A414">
        <v>427</v>
      </c>
      <c r="B414" t="s">
        <v>759</v>
      </c>
      <c r="C414" t="s">
        <v>26</v>
      </c>
      <c r="D414" t="s">
        <v>93</v>
      </c>
      <c r="E414" t="s">
        <v>40</v>
      </c>
      <c r="F414" t="s">
        <v>29</v>
      </c>
      <c r="G414" t="s">
        <v>41</v>
      </c>
      <c r="H414" t="s">
        <v>153</v>
      </c>
      <c r="I414">
        <v>0.2</v>
      </c>
      <c r="J414" t="s">
        <v>760</v>
      </c>
      <c r="K414" t="s">
        <v>207</v>
      </c>
      <c r="L414" t="s">
        <v>176</v>
      </c>
      <c r="M414" t="s">
        <v>177</v>
      </c>
      <c r="N414" s="3">
        <v>0.21</v>
      </c>
      <c r="O414" s="3">
        <v>0.37</v>
      </c>
      <c r="P414" s="3">
        <v>0.28000000000000003</v>
      </c>
      <c r="Q414" s="3" t="s">
        <v>59</v>
      </c>
      <c r="R414" s="3" t="s">
        <v>59</v>
      </c>
      <c r="S414" s="3" t="s">
        <v>59</v>
      </c>
      <c r="T414" s="3" t="s">
        <v>59</v>
      </c>
      <c r="U414" s="3" t="s">
        <v>59</v>
      </c>
      <c r="V414" s="3" t="s">
        <v>59</v>
      </c>
      <c r="W414" s="3" t="s">
        <v>59</v>
      </c>
      <c r="X414" s="3" t="s">
        <v>59</v>
      </c>
      <c r="Y414" s="3" t="s">
        <v>59</v>
      </c>
    </row>
    <row r="415" spans="1:25" hidden="1" x14ac:dyDescent="0.3">
      <c r="A415">
        <v>427</v>
      </c>
      <c r="B415" t="s">
        <v>759</v>
      </c>
      <c r="C415" t="s">
        <v>26</v>
      </c>
      <c r="D415" t="s">
        <v>93</v>
      </c>
      <c r="E415" t="s">
        <v>40</v>
      </c>
      <c r="F415" t="s">
        <v>29</v>
      </c>
      <c r="G415" t="s">
        <v>41</v>
      </c>
      <c r="H415" t="s">
        <v>153</v>
      </c>
      <c r="I415">
        <v>0.2</v>
      </c>
      <c r="J415" t="s">
        <v>760</v>
      </c>
      <c r="K415" t="s">
        <v>207</v>
      </c>
      <c r="L415" t="s">
        <v>178</v>
      </c>
      <c r="M415" t="s">
        <v>179</v>
      </c>
      <c r="N415" s="3">
        <v>0.08</v>
      </c>
      <c r="O415" s="3">
        <v>0.08</v>
      </c>
      <c r="P415" s="3">
        <v>0.11</v>
      </c>
      <c r="Q415" s="3">
        <v>0.1</v>
      </c>
      <c r="R415" s="3">
        <v>0.15</v>
      </c>
      <c r="S415" s="3">
        <v>7.0000000000000007E-2</v>
      </c>
      <c r="T415" s="3">
        <v>0.09</v>
      </c>
      <c r="U415" s="3" t="s">
        <v>59</v>
      </c>
      <c r="V415" s="3" t="s">
        <v>59</v>
      </c>
      <c r="W415" s="3" t="s">
        <v>59</v>
      </c>
      <c r="X415" s="3" t="s">
        <v>59</v>
      </c>
      <c r="Y415" s="3" t="s">
        <v>59</v>
      </c>
    </row>
    <row r="416" spans="1:25" hidden="1" x14ac:dyDescent="0.3">
      <c r="A416">
        <v>427</v>
      </c>
      <c r="B416" t="s">
        <v>759</v>
      </c>
      <c r="C416" t="s">
        <v>26</v>
      </c>
      <c r="D416" t="s">
        <v>93</v>
      </c>
      <c r="E416" t="s">
        <v>40</v>
      </c>
      <c r="F416" t="s">
        <v>29</v>
      </c>
      <c r="G416" t="s">
        <v>41</v>
      </c>
      <c r="H416" t="s">
        <v>153</v>
      </c>
      <c r="I416">
        <v>0.2</v>
      </c>
      <c r="J416" t="s">
        <v>760</v>
      </c>
      <c r="K416" t="s">
        <v>207</v>
      </c>
      <c r="L416" t="s">
        <v>180</v>
      </c>
      <c r="M416" t="s">
        <v>181</v>
      </c>
      <c r="N416" s="3">
        <v>0</v>
      </c>
      <c r="O416" s="3"/>
      <c r="P416" s="3"/>
      <c r="Q416" s="3" t="s">
        <v>59</v>
      </c>
      <c r="R416" s="3" t="s">
        <v>59</v>
      </c>
      <c r="S416" s="3" t="s">
        <v>59</v>
      </c>
      <c r="T416" s="3" t="s">
        <v>59</v>
      </c>
      <c r="U416" s="3" t="s">
        <v>59</v>
      </c>
      <c r="V416" s="3" t="s">
        <v>59</v>
      </c>
      <c r="W416" s="3" t="s">
        <v>59</v>
      </c>
      <c r="X416" s="3" t="s">
        <v>59</v>
      </c>
      <c r="Y416" s="3" t="s">
        <v>59</v>
      </c>
    </row>
    <row r="417" spans="1:25" hidden="1" x14ac:dyDescent="0.3">
      <c r="A417">
        <v>427</v>
      </c>
      <c r="B417" t="s">
        <v>759</v>
      </c>
      <c r="C417" t="s">
        <v>26</v>
      </c>
      <c r="D417" t="s">
        <v>93</v>
      </c>
      <c r="E417" t="s">
        <v>40</v>
      </c>
      <c r="F417" t="s">
        <v>29</v>
      </c>
      <c r="G417" t="s">
        <v>41</v>
      </c>
      <c r="H417" t="s">
        <v>153</v>
      </c>
      <c r="I417">
        <v>0.2</v>
      </c>
      <c r="J417" t="s">
        <v>760</v>
      </c>
      <c r="K417" t="s">
        <v>207</v>
      </c>
      <c r="L417" t="s">
        <v>182</v>
      </c>
      <c r="M417" t="s">
        <v>183</v>
      </c>
      <c r="N417" s="3">
        <v>1.72</v>
      </c>
      <c r="O417" s="3">
        <v>0.01</v>
      </c>
      <c r="P417" s="3">
        <v>0.68</v>
      </c>
      <c r="Q417" s="3" t="s">
        <v>59</v>
      </c>
      <c r="R417" s="3" t="s">
        <v>59</v>
      </c>
      <c r="S417" s="3" t="s">
        <v>59</v>
      </c>
      <c r="T417" s="3" t="s">
        <v>59</v>
      </c>
      <c r="U417" s="3" t="s">
        <v>59</v>
      </c>
      <c r="V417" s="3" t="s">
        <v>59</v>
      </c>
      <c r="W417" s="3" t="s">
        <v>59</v>
      </c>
      <c r="X417" s="3" t="s">
        <v>59</v>
      </c>
      <c r="Y417" s="3" t="s">
        <v>59</v>
      </c>
    </row>
    <row r="418" spans="1:25" hidden="1" x14ac:dyDescent="0.3">
      <c r="A418" s="1">
        <v>428</v>
      </c>
      <c r="B418" s="1" t="s">
        <v>761</v>
      </c>
      <c r="C418" s="1" t="s">
        <v>26</v>
      </c>
      <c r="D418" s="1" t="s">
        <v>93</v>
      </c>
      <c r="E418" s="1" t="s">
        <v>40</v>
      </c>
      <c r="F418" s="1" t="s">
        <v>29</v>
      </c>
      <c r="G418" s="1" t="s">
        <v>41</v>
      </c>
      <c r="H418" s="1" t="s">
        <v>153</v>
      </c>
      <c r="I418" s="1">
        <v>20</v>
      </c>
      <c r="J418" s="1" t="s">
        <v>762</v>
      </c>
      <c r="K418" s="1" t="s">
        <v>155</v>
      </c>
      <c r="L418" s="1" t="s">
        <v>34</v>
      </c>
      <c r="M418" s="1" t="s">
        <v>34</v>
      </c>
      <c r="N418" s="5">
        <v>17.88</v>
      </c>
      <c r="O418" s="5">
        <v>15.12</v>
      </c>
      <c r="P418" s="4">
        <v>18.53</v>
      </c>
      <c r="Q418" s="5">
        <v>16.579999999999998</v>
      </c>
      <c r="R418" s="4">
        <v>18.63</v>
      </c>
      <c r="S418" s="5">
        <v>17.59</v>
      </c>
      <c r="T418" s="7">
        <v>22.305356231019001</v>
      </c>
      <c r="U418" s="5">
        <v>13.214886008045999</v>
      </c>
      <c r="V418" s="5">
        <v>17.40108659740832</v>
      </c>
      <c r="W418" s="5">
        <v>16.284636924839301</v>
      </c>
      <c r="X418" s="3" t="s">
        <v>59</v>
      </c>
      <c r="Y418" s="3" t="s">
        <v>59</v>
      </c>
    </row>
    <row r="419" spans="1:25" hidden="1" x14ac:dyDescent="0.3">
      <c r="A419">
        <v>428</v>
      </c>
      <c r="B419" t="s">
        <v>761</v>
      </c>
      <c r="C419" t="s">
        <v>26</v>
      </c>
      <c r="D419" t="s">
        <v>93</v>
      </c>
      <c r="E419" t="s">
        <v>40</v>
      </c>
      <c r="F419" t="s">
        <v>29</v>
      </c>
      <c r="G419" t="s">
        <v>41</v>
      </c>
      <c r="H419" t="s">
        <v>153</v>
      </c>
      <c r="I419">
        <v>20</v>
      </c>
      <c r="J419" t="s">
        <v>762</v>
      </c>
      <c r="K419" t="s">
        <v>155</v>
      </c>
      <c r="L419" t="s">
        <v>172</v>
      </c>
      <c r="M419" t="s">
        <v>173</v>
      </c>
      <c r="N419" s="3">
        <v>20.65</v>
      </c>
      <c r="O419" s="3">
        <v>20.260000000000002</v>
      </c>
      <c r="P419" s="3">
        <v>20.8</v>
      </c>
      <c r="Q419" s="3">
        <v>20.309999999999999</v>
      </c>
      <c r="R419" s="3">
        <v>21.44</v>
      </c>
      <c r="S419" s="3">
        <v>20.57</v>
      </c>
      <c r="T419" s="3">
        <v>28.13</v>
      </c>
      <c r="U419" s="3">
        <v>16.87</v>
      </c>
      <c r="V419" s="3" t="s">
        <v>59</v>
      </c>
      <c r="W419" s="3" t="s">
        <v>59</v>
      </c>
      <c r="X419" s="3" t="s">
        <v>59</v>
      </c>
      <c r="Y419" s="3" t="s">
        <v>59</v>
      </c>
    </row>
    <row r="420" spans="1:25" hidden="1" x14ac:dyDescent="0.3">
      <c r="A420">
        <v>428</v>
      </c>
      <c r="B420" t="s">
        <v>761</v>
      </c>
      <c r="C420" t="s">
        <v>26</v>
      </c>
      <c r="D420" t="s">
        <v>93</v>
      </c>
      <c r="E420" t="s">
        <v>40</v>
      </c>
      <c r="F420" t="s">
        <v>29</v>
      </c>
      <c r="G420" t="s">
        <v>41</v>
      </c>
      <c r="H420" t="s">
        <v>153</v>
      </c>
      <c r="I420">
        <v>20</v>
      </c>
      <c r="J420" t="s">
        <v>762</v>
      </c>
      <c r="K420" t="s">
        <v>155</v>
      </c>
      <c r="L420" t="s">
        <v>174</v>
      </c>
      <c r="M420" t="s">
        <v>175</v>
      </c>
      <c r="N420" s="3">
        <v>21.44</v>
      </c>
      <c r="O420" s="3">
        <v>17.59</v>
      </c>
      <c r="P420" s="3">
        <v>22.12</v>
      </c>
      <c r="Q420" s="3">
        <v>18.489999999999998</v>
      </c>
      <c r="R420" s="3">
        <v>24.75</v>
      </c>
      <c r="S420" s="3">
        <v>20.8</v>
      </c>
      <c r="T420" s="3">
        <v>23.94</v>
      </c>
      <c r="U420" s="3">
        <v>8.3699999999999992</v>
      </c>
      <c r="V420" s="3" t="s">
        <v>59</v>
      </c>
      <c r="W420" s="3" t="s">
        <v>59</v>
      </c>
      <c r="X420" s="3" t="s">
        <v>59</v>
      </c>
      <c r="Y420" s="3" t="s">
        <v>59</v>
      </c>
    </row>
    <row r="421" spans="1:25" hidden="1" x14ac:dyDescent="0.3">
      <c r="A421">
        <v>428</v>
      </c>
      <c r="B421" t="s">
        <v>761</v>
      </c>
      <c r="C421" t="s">
        <v>26</v>
      </c>
      <c r="D421" t="s">
        <v>93</v>
      </c>
      <c r="E421" t="s">
        <v>40</v>
      </c>
      <c r="F421" t="s">
        <v>29</v>
      </c>
      <c r="G421" t="s">
        <v>41</v>
      </c>
      <c r="H421" t="s">
        <v>153</v>
      </c>
      <c r="I421">
        <v>20</v>
      </c>
      <c r="J421" t="s">
        <v>762</v>
      </c>
      <c r="K421" t="s">
        <v>155</v>
      </c>
      <c r="L421" t="s">
        <v>176</v>
      </c>
      <c r="M421" t="s">
        <v>177</v>
      </c>
      <c r="N421" s="3">
        <v>116.52</v>
      </c>
      <c r="O421" s="3">
        <v>86.33</v>
      </c>
      <c r="P421" s="3">
        <v>92.87</v>
      </c>
      <c r="Q421" s="3"/>
      <c r="R421" s="3" t="s">
        <v>59</v>
      </c>
      <c r="S421" s="3" t="s">
        <v>59</v>
      </c>
      <c r="T421" s="3" t="s">
        <v>59</v>
      </c>
      <c r="U421" s="3" t="s">
        <v>59</v>
      </c>
      <c r="V421" s="3" t="s">
        <v>59</v>
      </c>
      <c r="W421" s="3" t="s">
        <v>59</v>
      </c>
      <c r="X421" s="3" t="s">
        <v>59</v>
      </c>
      <c r="Y421" s="3" t="s">
        <v>59</v>
      </c>
    </row>
    <row r="422" spans="1:25" hidden="1" x14ac:dyDescent="0.3">
      <c r="A422">
        <v>428</v>
      </c>
      <c r="B422" t="s">
        <v>761</v>
      </c>
      <c r="C422" t="s">
        <v>26</v>
      </c>
      <c r="D422" t="s">
        <v>93</v>
      </c>
      <c r="E422" t="s">
        <v>40</v>
      </c>
      <c r="F422" t="s">
        <v>29</v>
      </c>
      <c r="G422" t="s">
        <v>41</v>
      </c>
      <c r="H422" t="s">
        <v>153</v>
      </c>
      <c r="I422">
        <v>20</v>
      </c>
      <c r="J422" t="s">
        <v>762</v>
      </c>
      <c r="K422" t="s">
        <v>155</v>
      </c>
      <c r="L422" t="s">
        <v>178</v>
      </c>
      <c r="M422" t="s">
        <v>179</v>
      </c>
      <c r="N422" s="3">
        <v>8.6300000000000008</v>
      </c>
      <c r="O422" s="3">
        <v>7.27</v>
      </c>
      <c r="P422" s="3">
        <v>11.77</v>
      </c>
      <c r="Q422" s="3">
        <v>9.57</v>
      </c>
      <c r="R422" s="3">
        <v>7.45</v>
      </c>
      <c r="S422" s="3">
        <v>10.27</v>
      </c>
      <c r="T422" s="3">
        <v>12.67</v>
      </c>
      <c r="U422" s="3">
        <v>9.94</v>
      </c>
      <c r="V422" s="3" t="s">
        <v>59</v>
      </c>
      <c r="W422" s="3" t="s">
        <v>59</v>
      </c>
      <c r="X422" s="3" t="s">
        <v>59</v>
      </c>
      <c r="Y422" s="3" t="s">
        <v>59</v>
      </c>
    </row>
    <row r="423" spans="1:25" hidden="1" x14ac:dyDescent="0.3">
      <c r="A423">
        <v>428</v>
      </c>
      <c r="B423" t="s">
        <v>761</v>
      </c>
      <c r="C423" t="s">
        <v>26</v>
      </c>
      <c r="D423" t="s">
        <v>93</v>
      </c>
      <c r="E423" t="s">
        <v>40</v>
      </c>
      <c r="F423" t="s">
        <v>29</v>
      </c>
      <c r="G423" t="s">
        <v>41</v>
      </c>
      <c r="H423" t="s">
        <v>153</v>
      </c>
      <c r="I423">
        <v>20</v>
      </c>
      <c r="J423" t="s">
        <v>762</v>
      </c>
      <c r="K423" t="s">
        <v>155</v>
      </c>
      <c r="L423" t="s">
        <v>180</v>
      </c>
      <c r="M423" t="s">
        <v>181</v>
      </c>
      <c r="N423" s="3">
        <v>12.01</v>
      </c>
      <c r="O423" s="3">
        <v>0.27</v>
      </c>
      <c r="P423" s="3">
        <v>7.51</v>
      </c>
      <c r="Q423" s="3"/>
      <c r="R423" s="3"/>
      <c r="S423" s="3" t="s">
        <v>59</v>
      </c>
      <c r="T423" s="3" t="s">
        <v>59</v>
      </c>
      <c r="U423" s="3" t="s">
        <v>59</v>
      </c>
      <c r="V423" s="3" t="s">
        <v>59</v>
      </c>
      <c r="W423" s="3" t="s">
        <v>59</v>
      </c>
      <c r="X423" s="3" t="s">
        <v>59</v>
      </c>
      <c r="Y423" s="3" t="s">
        <v>59</v>
      </c>
    </row>
    <row r="424" spans="1:25" hidden="1" x14ac:dyDescent="0.3">
      <c r="A424">
        <v>428</v>
      </c>
      <c r="B424" t="s">
        <v>761</v>
      </c>
      <c r="C424" t="s">
        <v>26</v>
      </c>
      <c r="D424" t="s">
        <v>93</v>
      </c>
      <c r="E424" t="s">
        <v>40</v>
      </c>
      <c r="F424" t="s">
        <v>29</v>
      </c>
      <c r="G424" t="s">
        <v>41</v>
      </c>
      <c r="H424" t="s">
        <v>153</v>
      </c>
      <c r="I424">
        <v>20</v>
      </c>
      <c r="J424" t="s">
        <v>762</v>
      </c>
      <c r="K424" t="s">
        <v>155</v>
      </c>
      <c r="L424" t="s">
        <v>182</v>
      </c>
      <c r="M424" t="s">
        <v>183</v>
      </c>
      <c r="N424" s="3">
        <v>254.97</v>
      </c>
      <c r="O424" s="3">
        <v>171.7</v>
      </c>
      <c r="P424" s="3">
        <v>110.81</v>
      </c>
      <c r="Q424" s="3"/>
      <c r="R424" s="3" t="s">
        <v>59</v>
      </c>
      <c r="S424" s="3" t="s">
        <v>59</v>
      </c>
      <c r="T424" s="3" t="s">
        <v>59</v>
      </c>
      <c r="U424" s="3" t="s">
        <v>59</v>
      </c>
      <c r="V424" s="3" t="s">
        <v>59</v>
      </c>
      <c r="W424" s="3" t="s">
        <v>59</v>
      </c>
      <c r="X424" s="3" t="s">
        <v>59</v>
      </c>
      <c r="Y424" s="3" t="s">
        <v>59</v>
      </c>
    </row>
    <row r="425" spans="1:25" hidden="1" x14ac:dyDescent="0.3">
      <c r="A425">
        <v>428</v>
      </c>
      <c r="B425" t="s">
        <v>761</v>
      </c>
      <c r="C425" t="s">
        <v>26</v>
      </c>
      <c r="D425" t="s">
        <v>93</v>
      </c>
      <c r="E425" t="s">
        <v>40</v>
      </c>
      <c r="F425" t="s">
        <v>29</v>
      </c>
      <c r="G425" t="s">
        <v>41</v>
      </c>
      <c r="H425" t="s">
        <v>153</v>
      </c>
      <c r="I425">
        <v>20</v>
      </c>
      <c r="J425" t="s">
        <v>762</v>
      </c>
      <c r="K425" t="s">
        <v>155</v>
      </c>
      <c r="M425" t="s">
        <v>216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 t="s">
        <v>59</v>
      </c>
      <c r="Y425" s="3" t="s">
        <v>59</v>
      </c>
    </row>
    <row r="426" spans="1:25" hidden="1" x14ac:dyDescent="0.3">
      <c r="A426" s="1">
        <v>429</v>
      </c>
      <c r="B426" s="1" t="s">
        <v>763</v>
      </c>
      <c r="C426" s="1" t="s">
        <v>26</v>
      </c>
      <c r="D426" s="1" t="s">
        <v>93</v>
      </c>
      <c r="E426" s="1" t="s">
        <v>40</v>
      </c>
      <c r="F426" s="1" t="s">
        <v>29</v>
      </c>
      <c r="G426" s="1" t="s">
        <v>41</v>
      </c>
      <c r="H426" s="1" t="s">
        <v>153</v>
      </c>
      <c r="I426" s="1">
        <v>0.76</v>
      </c>
      <c r="J426" s="1" t="s">
        <v>764</v>
      </c>
      <c r="K426" s="1" t="s">
        <v>155</v>
      </c>
      <c r="L426" s="1" t="s">
        <v>34</v>
      </c>
      <c r="M426" s="1" t="s">
        <v>34</v>
      </c>
      <c r="N426" s="5">
        <v>0.52</v>
      </c>
      <c r="O426" s="5">
        <v>0.59</v>
      </c>
      <c r="P426" s="4">
        <v>0.67</v>
      </c>
      <c r="Q426" s="4">
        <v>0.66</v>
      </c>
      <c r="R426" s="4">
        <v>0.76</v>
      </c>
      <c r="S426" s="5">
        <v>0.3</v>
      </c>
      <c r="T426" s="5">
        <v>0.27551598619033002</v>
      </c>
      <c r="U426" s="5">
        <v>0.25392715346106998</v>
      </c>
      <c r="V426" s="3" t="s">
        <v>59</v>
      </c>
      <c r="W426" s="3" t="s">
        <v>59</v>
      </c>
      <c r="X426" s="3" t="s">
        <v>59</v>
      </c>
      <c r="Y426" s="3" t="s">
        <v>59</v>
      </c>
    </row>
    <row r="427" spans="1:25" hidden="1" x14ac:dyDescent="0.3">
      <c r="A427">
        <v>429</v>
      </c>
      <c r="B427" t="s">
        <v>763</v>
      </c>
      <c r="C427" t="s">
        <v>26</v>
      </c>
      <c r="D427" t="s">
        <v>93</v>
      </c>
      <c r="E427" t="s">
        <v>40</v>
      </c>
      <c r="F427" t="s">
        <v>29</v>
      </c>
      <c r="G427" t="s">
        <v>41</v>
      </c>
      <c r="H427" t="s">
        <v>153</v>
      </c>
      <c r="I427">
        <v>0.76</v>
      </c>
      <c r="J427" t="s">
        <v>764</v>
      </c>
      <c r="K427" t="s">
        <v>155</v>
      </c>
      <c r="L427" t="s">
        <v>172</v>
      </c>
      <c r="M427" t="s">
        <v>173</v>
      </c>
      <c r="N427" s="3">
        <v>0.63</v>
      </c>
      <c r="O427" s="3">
        <v>1.04</v>
      </c>
      <c r="P427" s="3">
        <v>1.04</v>
      </c>
      <c r="Q427" s="3">
        <v>1.07</v>
      </c>
      <c r="R427" s="3">
        <v>1.21</v>
      </c>
      <c r="S427" s="3">
        <v>0.36</v>
      </c>
      <c r="T427" s="3">
        <v>0.42</v>
      </c>
      <c r="U427" s="3">
        <v>0.25</v>
      </c>
      <c r="V427" s="3" t="s">
        <v>59</v>
      </c>
      <c r="W427" s="3" t="s">
        <v>59</v>
      </c>
      <c r="X427" s="3" t="s">
        <v>59</v>
      </c>
      <c r="Y427" s="3" t="s">
        <v>59</v>
      </c>
    </row>
    <row r="428" spans="1:25" hidden="1" x14ac:dyDescent="0.3">
      <c r="A428">
        <v>429</v>
      </c>
      <c r="B428" t="s">
        <v>763</v>
      </c>
      <c r="C428" t="s">
        <v>26</v>
      </c>
      <c r="D428" t="s">
        <v>93</v>
      </c>
      <c r="E428" t="s">
        <v>40</v>
      </c>
      <c r="F428" t="s">
        <v>29</v>
      </c>
      <c r="G428" t="s">
        <v>41</v>
      </c>
      <c r="H428" t="s">
        <v>153</v>
      </c>
      <c r="I428">
        <v>0.76</v>
      </c>
      <c r="J428" t="s">
        <v>764</v>
      </c>
      <c r="K428" t="s">
        <v>155</v>
      </c>
      <c r="L428" t="s">
        <v>174</v>
      </c>
      <c r="M428" t="s">
        <v>175</v>
      </c>
      <c r="N428" s="3">
        <v>0.48</v>
      </c>
      <c r="O428" s="3">
        <v>0.35</v>
      </c>
      <c r="P428" s="3">
        <v>0.45</v>
      </c>
      <c r="Q428" s="3">
        <v>0.35</v>
      </c>
      <c r="R428" s="3">
        <v>0.38</v>
      </c>
      <c r="S428" s="3">
        <v>0.31</v>
      </c>
      <c r="T428" s="3">
        <v>0.11</v>
      </c>
      <c r="U428" s="3" t="s">
        <v>59</v>
      </c>
      <c r="V428" s="3" t="s">
        <v>59</v>
      </c>
      <c r="W428" s="3" t="s">
        <v>59</v>
      </c>
      <c r="X428" s="3" t="s">
        <v>59</v>
      </c>
      <c r="Y428" s="3" t="s">
        <v>59</v>
      </c>
    </row>
    <row r="429" spans="1:25" hidden="1" x14ac:dyDescent="0.3">
      <c r="A429">
        <v>429</v>
      </c>
      <c r="B429" t="s">
        <v>763</v>
      </c>
      <c r="C429" t="s">
        <v>26</v>
      </c>
      <c r="D429" t="s">
        <v>93</v>
      </c>
      <c r="E429" t="s">
        <v>40</v>
      </c>
      <c r="F429" t="s">
        <v>29</v>
      </c>
      <c r="G429" t="s">
        <v>41</v>
      </c>
      <c r="H429" t="s">
        <v>153</v>
      </c>
      <c r="I429">
        <v>0.76</v>
      </c>
      <c r="J429" t="s">
        <v>764</v>
      </c>
      <c r="K429" t="s">
        <v>155</v>
      </c>
      <c r="L429" t="s">
        <v>176</v>
      </c>
      <c r="M429" t="s">
        <v>177</v>
      </c>
      <c r="N429" s="3">
        <v>1.1399999999999999</v>
      </c>
      <c r="O429" s="3">
        <v>0.82</v>
      </c>
      <c r="P429" s="3" t="s">
        <v>59</v>
      </c>
      <c r="Q429" s="3" t="s">
        <v>59</v>
      </c>
      <c r="R429" s="3" t="s">
        <v>59</v>
      </c>
      <c r="S429" s="3" t="s">
        <v>59</v>
      </c>
      <c r="T429" s="3" t="s">
        <v>59</v>
      </c>
      <c r="U429" s="3" t="s">
        <v>59</v>
      </c>
      <c r="V429" s="3" t="s">
        <v>59</v>
      </c>
      <c r="W429" s="3" t="s">
        <v>59</v>
      </c>
      <c r="X429" s="3" t="s">
        <v>59</v>
      </c>
      <c r="Y429" s="3" t="s">
        <v>59</v>
      </c>
    </row>
    <row r="430" spans="1:25" hidden="1" x14ac:dyDescent="0.3">
      <c r="A430">
        <v>429</v>
      </c>
      <c r="B430" t="s">
        <v>763</v>
      </c>
      <c r="C430" t="s">
        <v>26</v>
      </c>
      <c r="D430" t="s">
        <v>93</v>
      </c>
      <c r="E430" t="s">
        <v>40</v>
      </c>
      <c r="F430" t="s">
        <v>29</v>
      </c>
      <c r="G430" t="s">
        <v>41</v>
      </c>
      <c r="H430" t="s">
        <v>153</v>
      </c>
      <c r="I430">
        <v>0.76</v>
      </c>
      <c r="J430" t="s">
        <v>764</v>
      </c>
      <c r="K430" t="s">
        <v>155</v>
      </c>
      <c r="L430" t="s">
        <v>178</v>
      </c>
      <c r="M430" t="s">
        <v>179</v>
      </c>
      <c r="N430" s="3">
        <v>0.42</v>
      </c>
      <c r="O430" s="3">
        <v>0.35</v>
      </c>
      <c r="P430" s="3">
        <v>0.3</v>
      </c>
      <c r="Q430" s="3">
        <v>0.42</v>
      </c>
      <c r="R430" s="3">
        <v>0.41</v>
      </c>
      <c r="S430" s="3">
        <v>0.22</v>
      </c>
      <c r="T430" s="3" t="s">
        <v>59</v>
      </c>
      <c r="U430" s="3" t="s">
        <v>59</v>
      </c>
      <c r="V430" s="3" t="s">
        <v>59</v>
      </c>
      <c r="W430" s="3" t="s">
        <v>59</v>
      </c>
      <c r="X430" s="3" t="s">
        <v>59</v>
      </c>
      <c r="Y430" s="3" t="s">
        <v>59</v>
      </c>
    </row>
    <row r="431" spans="1:25" hidden="1" x14ac:dyDescent="0.3">
      <c r="A431">
        <v>429</v>
      </c>
      <c r="B431" t="s">
        <v>763</v>
      </c>
      <c r="C431" t="s">
        <v>26</v>
      </c>
      <c r="D431" t="s">
        <v>93</v>
      </c>
      <c r="E431" t="s">
        <v>40</v>
      </c>
      <c r="F431" t="s">
        <v>29</v>
      </c>
      <c r="G431" t="s">
        <v>41</v>
      </c>
      <c r="H431" t="s">
        <v>153</v>
      </c>
      <c r="I431">
        <v>0.76</v>
      </c>
      <c r="J431" t="s">
        <v>764</v>
      </c>
      <c r="K431" t="s">
        <v>155</v>
      </c>
      <c r="L431" t="s">
        <v>180</v>
      </c>
      <c r="M431" t="s">
        <v>181</v>
      </c>
      <c r="N431" s="3">
        <v>0.25</v>
      </c>
      <c r="O431" s="3">
        <v>0.03</v>
      </c>
      <c r="P431" s="3" t="s">
        <v>59</v>
      </c>
      <c r="Q431" s="3" t="s">
        <v>59</v>
      </c>
      <c r="R431" s="3" t="s">
        <v>59</v>
      </c>
      <c r="S431" s="3" t="s">
        <v>59</v>
      </c>
      <c r="T431" s="3" t="s">
        <v>59</v>
      </c>
      <c r="U431" s="3" t="s">
        <v>59</v>
      </c>
      <c r="V431" s="3" t="s">
        <v>59</v>
      </c>
      <c r="W431" s="3" t="s">
        <v>59</v>
      </c>
      <c r="X431" s="3" t="s">
        <v>59</v>
      </c>
      <c r="Y431" s="3" t="s">
        <v>59</v>
      </c>
    </row>
    <row r="432" spans="1:25" hidden="1" x14ac:dyDescent="0.3">
      <c r="A432">
        <v>429</v>
      </c>
      <c r="B432" t="s">
        <v>763</v>
      </c>
      <c r="C432" t="s">
        <v>26</v>
      </c>
      <c r="D432" t="s">
        <v>93</v>
      </c>
      <c r="E432" t="s">
        <v>40</v>
      </c>
      <c r="F432" t="s">
        <v>29</v>
      </c>
      <c r="G432" t="s">
        <v>41</v>
      </c>
      <c r="H432" t="s">
        <v>153</v>
      </c>
      <c r="I432">
        <v>0.76</v>
      </c>
      <c r="J432" t="s">
        <v>764</v>
      </c>
      <c r="K432" t="s">
        <v>155</v>
      </c>
      <c r="L432" t="s">
        <v>182</v>
      </c>
      <c r="M432" t="s">
        <v>183</v>
      </c>
      <c r="N432" s="3">
        <v>3.2</v>
      </c>
      <c r="O432" s="3">
        <v>3.16</v>
      </c>
      <c r="P432" s="3">
        <v>0.89</v>
      </c>
      <c r="Q432" s="3">
        <v>2.46</v>
      </c>
      <c r="R432" s="3" t="s">
        <v>59</v>
      </c>
      <c r="S432" s="3" t="s">
        <v>59</v>
      </c>
      <c r="T432" s="3" t="s">
        <v>59</v>
      </c>
      <c r="U432" s="3" t="s">
        <v>59</v>
      </c>
      <c r="V432" s="3" t="s">
        <v>59</v>
      </c>
      <c r="W432" s="3" t="s">
        <v>59</v>
      </c>
      <c r="X432" s="3" t="s">
        <v>59</v>
      </c>
      <c r="Y432" s="3" t="s">
        <v>59</v>
      </c>
    </row>
    <row r="433" spans="1:25" hidden="1" x14ac:dyDescent="0.3">
      <c r="A433" s="1">
        <v>430</v>
      </c>
      <c r="B433" s="1" t="s">
        <v>765</v>
      </c>
      <c r="C433" s="1" t="s">
        <v>47</v>
      </c>
      <c r="D433" s="1" t="s">
        <v>152</v>
      </c>
      <c r="E433" s="1" t="s">
        <v>28</v>
      </c>
      <c r="F433" s="1" t="s">
        <v>29</v>
      </c>
      <c r="G433" s="1" t="s">
        <v>30</v>
      </c>
      <c r="H433" s="1" t="s">
        <v>153</v>
      </c>
      <c r="I433" s="1">
        <v>95</v>
      </c>
      <c r="J433" s="1" t="s">
        <v>766</v>
      </c>
      <c r="K433" s="1" t="s">
        <v>155</v>
      </c>
      <c r="L433" s="1" t="s">
        <v>34</v>
      </c>
      <c r="M433" s="1" t="s">
        <v>34</v>
      </c>
      <c r="N433" s="5">
        <v>111.76</v>
      </c>
      <c r="O433" s="5">
        <v>110.79</v>
      </c>
      <c r="P433" s="5">
        <v>102.9374919710379</v>
      </c>
      <c r="Q433" s="5">
        <v>101.88</v>
      </c>
      <c r="R433" s="5">
        <v>101.39526345983001</v>
      </c>
      <c r="S433" s="5">
        <v>104.59563552424</v>
      </c>
      <c r="T433" s="3" t="s">
        <v>59</v>
      </c>
      <c r="U433" s="3" t="s">
        <v>59</v>
      </c>
      <c r="V433" s="3" t="s">
        <v>59</v>
      </c>
      <c r="W433" s="3" t="s">
        <v>59</v>
      </c>
      <c r="X433" s="3" t="s">
        <v>59</v>
      </c>
      <c r="Y433" s="3" t="s">
        <v>59</v>
      </c>
    </row>
    <row r="434" spans="1:25" hidden="1" x14ac:dyDescent="0.3">
      <c r="A434">
        <v>430</v>
      </c>
      <c r="B434" t="s">
        <v>765</v>
      </c>
      <c r="C434" t="s">
        <v>47</v>
      </c>
      <c r="D434" t="s">
        <v>152</v>
      </c>
      <c r="E434" t="s">
        <v>28</v>
      </c>
      <c r="F434" t="s">
        <v>29</v>
      </c>
      <c r="G434" t="s">
        <v>30</v>
      </c>
      <c r="H434" t="s">
        <v>153</v>
      </c>
      <c r="I434">
        <v>95</v>
      </c>
      <c r="J434" t="s">
        <v>766</v>
      </c>
      <c r="K434" t="s">
        <v>155</v>
      </c>
      <c r="L434" t="s">
        <v>767</v>
      </c>
      <c r="M434" t="s">
        <v>768</v>
      </c>
      <c r="N434" s="3">
        <v>111.64</v>
      </c>
      <c r="O434" s="3">
        <v>105.86</v>
      </c>
      <c r="P434" s="3" t="s">
        <v>59</v>
      </c>
      <c r="Q434" s="3">
        <v>96.78</v>
      </c>
      <c r="R434" s="3">
        <v>109.98</v>
      </c>
      <c r="S434" s="3">
        <v>112.94</v>
      </c>
      <c r="T434" s="3" t="s">
        <v>59</v>
      </c>
      <c r="U434" s="3" t="s">
        <v>59</v>
      </c>
      <c r="V434" s="3" t="s">
        <v>59</v>
      </c>
      <c r="W434" s="3" t="s">
        <v>59</v>
      </c>
      <c r="X434" s="3" t="s">
        <v>59</v>
      </c>
      <c r="Y434" s="3" t="s">
        <v>59</v>
      </c>
    </row>
    <row r="435" spans="1:25" hidden="1" x14ac:dyDescent="0.3">
      <c r="A435">
        <v>430</v>
      </c>
      <c r="B435" t="s">
        <v>765</v>
      </c>
      <c r="C435" t="s">
        <v>47</v>
      </c>
      <c r="D435" t="s">
        <v>152</v>
      </c>
      <c r="E435" t="s">
        <v>28</v>
      </c>
      <c r="F435" t="s">
        <v>29</v>
      </c>
      <c r="G435" t="s">
        <v>30</v>
      </c>
      <c r="H435" t="s">
        <v>153</v>
      </c>
      <c r="I435">
        <v>95</v>
      </c>
      <c r="J435" t="s">
        <v>766</v>
      </c>
      <c r="K435" t="s">
        <v>155</v>
      </c>
      <c r="L435" t="s">
        <v>769</v>
      </c>
      <c r="M435" t="s">
        <v>770</v>
      </c>
      <c r="N435" s="3">
        <v>101.49</v>
      </c>
      <c r="O435" s="3">
        <v>140.35</v>
      </c>
      <c r="P435" s="3" t="s">
        <v>59</v>
      </c>
      <c r="Q435" s="3">
        <v>104.99</v>
      </c>
      <c r="R435" s="3">
        <v>101.48</v>
      </c>
      <c r="S435" s="3">
        <v>101.82</v>
      </c>
      <c r="T435" s="3" t="s">
        <v>59</v>
      </c>
      <c r="U435" s="3" t="s">
        <v>59</v>
      </c>
      <c r="V435" s="3" t="s">
        <v>59</v>
      </c>
      <c r="W435" s="3" t="s">
        <v>59</v>
      </c>
      <c r="X435" s="3" t="s">
        <v>59</v>
      </c>
      <c r="Y435" s="3" t="s">
        <v>59</v>
      </c>
    </row>
    <row r="436" spans="1:25" hidden="1" x14ac:dyDescent="0.3">
      <c r="A436">
        <v>430</v>
      </c>
      <c r="B436" t="s">
        <v>765</v>
      </c>
      <c r="C436" t="s">
        <v>47</v>
      </c>
      <c r="D436" t="s">
        <v>152</v>
      </c>
      <c r="E436" t="s">
        <v>28</v>
      </c>
      <c r="F436" t="s">
        <v>29</v>
      </c>
      <c r="G436" t="s">
        <v>30</v>
      </c>
      <c r="H436" t="s">
        <v>153</v>
      </c>
      <c r="I436">
        <v>95</v>
      </c>
      <c r="J436" t="s">
        <v>766</v>
      </c>
      <c r="K436" t="s">
        <v>155</v>
      </c>
      <c r="L436" t="s">
        <v>771</v>
      </c>
      <c r="M436" t="s">
        <v>772</v>
      </c>
      <c r="N436" s="3">
        <v>102.52</v>
      </c>
      <c r="O436" s="3">
        <v>104.01</v>
      </c>
      <c r="P436" s="3" t="s">
        <v>59</v>
      </c>
      <c r="Q436" s="3">
        <v>101.71</v>
      </c>
      <c r="R436" s="3">
        <v>99.63</v>
      </c>
      <c r="S436" s="3">
        <v>101.6</v>
      </c>
      <c r="T436" s="3" t="s">
        <v>59</v>
      </c>
      <c r="U436" s="3" t="s">
        <v>59</v>
      </c>
      <c r="V436" s="3" t="s">
        <v>59</v>
      </c>
      <c r="W436" s="3" t="s">
        <v>59</v>
      </c>
      <c r="X436" s="3" t="s">
        <v>59</v>
      </c>
      <c r="Y436" s="3" t="s">
        <v>59</v>
      </c>
    </row>
    <row r="437" spans="1:25" hidden="1" x14ac:dyDescent="0.3">
      <c r="A437">
        <v>430</v>
      </c>
      <c r="B437" t="s">
        <v>765</v>
      </c>
      <c r="C437" t="s">
        <v>47</v>
      </c>
      <c r="D437" t="s">
        <v>152</v>
      </c>
      <c r="E437" t="s">
        <v>28</v>
      </c>
      <c r="F437" t="s">
        <v>29</v>
      </c>
      <c r="G437" t="s">
        <v>30</v>
      </c>
      <c r="H437" t="s">
        <v>153</v>
      </c>
      <c r="I437">
        <v>95</v>
      </c>
      <c r="J437" t="s">
        <v>766</v>
      </c>
      <c r="K437" t="s">
        <v>155</v>
      </c>
      <c r="L437" t="s">
        <v>773</v>
      </c>
      <c r="M437" t="s">
        <v>774</v>
      </c>
      <c r="N437" s="3">
        <v>118.43</v>
      </c>
      <c r="O437" s="3">
        <v>106.55</v>
      </c>
      <c r="P437" s="3" t="s">
        <v>59</v>
      </c>
      <c r="Q437" s="3">
        <v>101.46</v>
      </c>
      <c r="R437" s="3">
        <v>101.37</v>
      </c>
      <c r="S437" s="3">
        <v>105.95</v>
      </c>
      <c r="T437" s="3" t="s">
        <v>59</v>
      </c>
      <c r="U437" s="3" t="s">
        <v>59</v>
      </c>
      <c r="V437" s="3" t="s">
        <v>59</v>
      </c>
      <c r="W437" s="3" t="s">
        <v>59</v>
      </c>
      <c r="X437" s="3" t="s">
        <v>59</v>
      </c>
      <c r="Y437" s="3" t="s">
        <v>59</v>
      </c>
    </row>
    <row r="438" spans="1:25" hidden="1" x14ac:dyDescent="0.3">
      <c r="A438" s="1">
        <v>433</v>
      </c>
      <c r="B438" s="1" t="s">
        <v>797</v>
      </c>
      <c r="C438" s="1" t="s">
        <v>26</v>
      </c>
      <c r="D438" s="1" t="s">
        <v>93</v>
      </c>
      <c r="E438" s="1" t="s">
        <v>28</v>
      </c>
      <c r="F438" s="1" t="s">
        <v>29</v>
      </c>
      <c r="G438" s="1" t="s">
        <v>41</v>
      </c>
      <c r="H438" s="1" t="s">
        <v>153</v>
      </c>
      <c r="I438" s="1">
        <v>0.05</v>
      </c>
      <c r="J438" s="1" t="s">
        <v>798</v>
      </c>
      <c r="K438" s="1" t="s">
        <v>155</v>
      </c>
      <c r="L438" s="1" t="s">
        <v>34</v>
      </c>
      <c r="M438" s="1" t="s">
        <v>34</v>
      </c>
      <c r="N438" s="7">
        <v>0.17</v>
      </c>
      <c r="O438" s="4">
        <v>0.02</v>
      </c>
      <c r="P438" s="7">
        <v>0.14000000000000001</v>
      </c>
      <c r="Q438" s="6">
        <v>7.0000000000000007E-2</v>
      </c>
      <c r="R438" s="4">
        <v>0.05</v>
      </c>
      <c r="S438" s="4">
        <v>0.02</v>
      </c>
      <c r="T438" s="4">
        <v>0.03</v>
      </c>
      <c r="U438" s="5">
        <v>6.1890925346445998E-4</v>
      </c>
      <c r="V438" s="3" t="s">
        <v>59</v>
      </c>
      <c r="W438" s="3" t="s">
        <v>59</v>
      </c>
      <c r="X438" s="3" t="s">
        <v>59</v>
      </c>
      <c r="Y438" s="3" t="s">
        <v>59</v>
      </c>
    </row>
    <row r="439" spans="1:25" hidden="1" x14ac:dyDescent="0.3">
      <c r="A439">
        <v>433</v>
      </c>
      <c r="B439" t="s">
        <v>797</v>
      </c>
      <c r="C439" t="s">
        <v>26</v>
      </c>
      <c r="D439" t="s">
        <v>93</v>
      </c>
      <c r="E439" t="s">
        <v>28</v>
      </c>
      <c r="F439" t="s">
        <v>29</v>
      </c>
      <c r="G439" t="s">
        <v>41</v>
      </c>
      <c r="H439" t="s">
        <v>153</v>
      </c>
      <c r="I439">
        <v>0.05</v>
      </c>
      <c r="J439" t="s">
        <v>798</v>
      </c>
      <c r="K439" t="s">
        <v>155</v>
      </c>
      <c r="L439" t="s">
        <v>172</v>
      </c>
      <c r="M439" t="s">
        <v>173</v>
      </c>
      <c r="N439" s="3">
        <v>0.37</v>
      </c>
      <c r="O439" s="3">
        <v>0.05</v>
      </c>
      <c r="P439" s="3">
        <v>0.27</v>
      </c>
      <c r="Q439" s="3">
        <v>0.15</v>
      </c>
      <c r="R439" s="3">
        <v>0.09</v>
      </c>
      <c r="S439" s="3">
        <v>0.05</v>
      </c>
      <c r="T439" s="3">
        <v>0.08</v>
      </c>
      <c r="U439" s="3" t="s">
        <v>59</v>
      </c>
      <c r="V439" s="3" t="s">
        <v>59</v>
      </c>
      <c r="W439" s="3" t="s">
        <v>59</v>
      </c>
      <c r="X439" s="3" t="s">
        <v>59</v>
      </c>
      <c r="Y439" s="3" t="s">
        <v>59</v>
      </c>
    </row>
    <row r="440" spans="1:25" hidden="1" x14ac:dyDescent="0.3">
      <c r="A440">
        <v>433</v>
      </c>
      <c r="B440" t="s">
        <v>797</v>
      </c>
      <c r="C440" t="s">
        <v>26</v>
      </c>
      <c r="D440" t="s">
        <v>93</v>
      </c>
      <c r="E440" t="s">
        <v>28</v>
      </c>
      <c r="F440" t="s">
        <v>29</v>
      </c>
      <c r="G440" t="s">
        <v>41</v>
      </c>
      <c r="H440" t="s">
        <v>153</v>
      </c>
      <c r="I440">
        <v>0.05</v>
      </c>
      <c r="J440" t="s">
        <v>798</v>
      </c>
      <c r="K440" t="s">
        <v>155</v>
      </c>
      <c r="L440" t="s">
        <v>174</v>
      </c>
      <c r="M440" t="s">
        <v>175</v>
      </c>
      <c r="N440" s="3">
        <v>0.03</v>
      </c>
      <c r="O440" s="3">
        <v>0</v>
      </c>
      <c r="P440" s="3">
        <v>0.04</v>
      </c>
      <c r="Q440" s="3">
        <v>0.03</v>
      </c>
      <c r="R440" s="3">
        <v>0.05</v>
      </c>
      <c r="S440" s="3">
        <v>0.02</v>
      </c>
      <c r="T440" s="3" t="s">
        <v>59</v>
      </c>
      <c r="U440" s="3" t="s">
        <v>59</v>
      </c>
      <c r="V440" s="3" t="s">
        <v>59</v>
      </c>
      <c r="W440" s="3" t="s">
        <v>59</v>
      </c>
      <c r="X440" s="3" t="s">
        <v>59</v>
      </c>
      <c r="Y440" s="3" t="s">
        <v>59</v>
      </c>
    </row>
    <row r="441" spans="1:25" hidden="1" x14ac:dyDescent="0.3">
      <c r="A441">
        <v>433</v>
      </c>
      <c r="B441" t="s">
        <v>797</v>
      </c>
      <c r="C441" t="s">
        <v>26</v>
      </c>
      <c r="D441" t="s">
        <v>93</v>
      </c>
      <c r="E441" t="s">
        <v>28</v>
      </c>
      <c r="F441" t="s">
        <v>29</v>
      </c>
      <c r="G441" t="s">
        <v>41</v>
      </c>
      <c r="H441" t="s">
        <v>153</v>
      </c>
      <c r="I441">
        <v>0.05</v>
      </c>
      <c r="J441" t="s">
        <v>798</v>
      </c>
      <c r="K441" t="s">
        <v>155</v>
      </c>
      <c r="L441" t="s">
        <v>176</v>
      </c>
      <c r="M441" t="s">
        <v>177</v>
      </c>
      <c r="N441" s="3">
        <v>0</v>
      </c>
      <c r="O441" s="3">
        <v>0</v>
      </c>
      <c r="P441" s="3" t="s">
        <v>59</v>
      </c>
      <c r="Q441" s="3" t="s">
        <v>59</v>
      </c>
      <c r="R441" s="3" t="s">
        <v>59</v>
      </c>
      <c r="S441" s="3" t="s">
        <v>59</v>
      </c>
      <c r="T441" s="3" t="s">
        <v>59</v>
      </c>
      <c r="U441" s="3" t="s">
        <v>59</v>
      </c>
      <c r="V441" s="3" t="s">
        <v>59</v>
      </c>
      <c r="W441" s="3" t="s">
        <v>59</v>
      </c>
      <c r="X441" s="3" t="s">
        <v>59</v>
      </c>
      <c r="Y441" s="3" t="s">
        <v>59</v>
      </c>
    </row>
    <row r="442" spans="1:25" hidden="1" x14ac:dyDescent="0.3">
      <c r="A442">
        <v>433</v>
      </c>
      <c r="B442" t="s">
        <v>797</v>
      </c>
      <c r="C442" t="s">
        <v>26</v>
      </c>
      <c r="D442" t="s">
        <v>93</v>
      </c>
      <c r="E442" t="s">
        <v>28</v>
      </c>
      <c r="F442" t="s">
        <v>29</v>
      </c>
      <c r="G442" t="s">
        <v>41</v>
      </c>
      <c r="H442" t="s">
        <v>153</v>
      </c>
      <c r="I442">
        <v>0.05</v>
      </c>
      <c r="J442" t="s">
        <v>798</v>
      </c>
      <c r="K442" t="s">
        <v>155</v>
      </c>
      <c r="L442" t="s">
        <v>178</v>
      </c>
      <c r="M442" t="s">
        <v>179</v>
      </c>
      <c r="N442" s="3">
        <v>0.04</v>
      </c>
      <c r="O442" s="3">
        <v>0</v>
      </c>
      <c r="P442" s="3">
        <v>0.06</v>
      </c>
      <c r="Q442" s="3"/>
      <c r="R442" s="3">
        <v>0.01</v>
      </c>
      <c r="S442" s="3"/>
      <c r="T442" s="3" t="s">
        <v>59</v>
      </c>
      <c r="U442" s="3" t="s">
        <v>59</v>
      </c>
      <c r="V442" s="3" t="s">
        <v>59</v>
      </c>
      <c r="W442" s="3" t="s">
        <v>59</v>
      </c>
      <c r="X442" s="3" t="s">
        <v>59</v>
      </c>
      <c r="Y442" s="3" t="s">
        <v>59</v>
      </c>
    </row>
    <row r="443" spans="1:25" hidden="1" x14ac:dyDescent="0.3">
      <c r="A443">
        <v>433</v>
      </c>
      <c r="B443" t="s">
        <v>797</v>
      </c>
      <c r="C443" t="s">
        <v>26</v>
      </c>
      <c r="D443" t="s">
        <v>93</v>
      </c>
      <c r="E443" t="s">
        <v>28</v>
      </c>
      <c r="F443" t="s">
        <v>29</v>
      </c>
      <c r="G443" t="s">
        <v>41</v>
      </c>
      <c r="H443" t="s">
        <v>153</v>
      </c>
      <c r="I443">
        <v>0.05</v>
      </c>
      <c r="J443" t="s">
        <v>798</v>
      </c>
      <c r="K443" t="s">
        <v>155</v>
      </c>
      <c r="L443" t="s">
        <v>180</v>
      </c>
      <c r="M443" t="s">
        <v>181</v>
      </c>
      <c r="N443" s="3">
        <v>0</v>
      </c>
      <c r="O443" s="3">
        <v>0</v>
      </c>
      <c r="P443" s="3"/>
      <c r="Q443" s="3"/>
      <c r="R443" s="3"/>
      <c r="S443" s="3" t="s">
        <v>59</v>
      </c>
      <c r="T443" s="3" t="s">
        <v>59</v>
      </c>
      <c r="U443" s="3" t="s">
        <v>59</v>
      </c>
      <c r="V443" s="3" t="s">
        <v>59</v>
      </c>
      <c r="W443" s="3" t="s">
        <v>59</v>
      </c>
      <c r="X443" s="3" t="s">
        <v>59</v>
      </c>
      <c r="Y443" s="3" t="s">
        <v>59</v>
      </c>
    </row>
    <row r="444" spans="1:25" hidden="1" x14ac:dyDescent="0.3">
      <c r="A444">
        <v>433</v>
      </c>
      <c r="B444" t="s">
        <v>797</v>
      </c>
      <c r="C444" t="s">
        <v>26</v>
      </c>
      <c r="D444" t="s">
        <v>93</v>
      </c>
      <c r="E444" t="s">
        <v>28</v>
      </c>
      <c r="F444" t="s">
        <v>29</v>
      </c>
      <c r="G444" t="s">
        <v>41</v>
      </c>
      <c r="H444" t="s">
        <v>153</v>
      </c>
      <c r="I444">
        <v>0.05</v>
      </c>
      <c r="J444" t="s">
        <v>798</v>
      </c>
      <c r="K444" t="s">
        <v>155</v>
      </c>
      <c r="L444" t="s">
        <v>182</v>
      </c>
      <c r="M444" t="s">
        <v>183</v>
      </c>
      <c r="N444" s="3">
        <v>0</v>
      </c>
      <c r="O444" s="3"/>
      <c r="P444" s="3" t="s">
        <v>59</v>
      </c>
      <c r="Q444" s="3" t="s">
        <v>59</v>
      </c>
      <c r="R444" s="3" t="s">
        <v>59</v>
      </c>
      <c r="S444" s="3" t="s">
        <v>59</v>
      </c>
      <c r="T444" s="3" t="s">
        <v>59</v>
      </c>
      <c r="U444" s="3" t="s">
        <v>59</v>
      </c>
      <c r="V444" s="3" t="s">
        <v>59</v>
      </c>
      <c r="W444" s="3" t="s">
        <v>59</v>
      </c>
      <c r="X444" s="3" t="s">
        <v>59</v>
      </c>
      <c r="Y444" s="3" t="s">
        <v>59</v>
      </c>
    </row>
    <row r="445" spans="1:25" hidden="1" x14ac:dyDescent="0.3">
      <c r="A445">
        <v>433</v>
      </c>
      <c r="B445" t="s">
        <v>797</v>
      </c>
      <c r="C445" t="s">
        <v>26</v>
      </c>
      <c r="D445" t="s">
        <v>93</v>
      </c>
      <c r="E445" t="s">
        <v>28</v>
      </c>
      <c r="F445" t="s">
        <v>29</v>
      </c>
      <c r="G445" t="s">
        <v>41</v>
      </c>
      <c r="H445" t="s">
        <v>153</v>
      </c>
      <c r="I445">
        <v>0.05</v>
      </c>
      <c r="J445" t="s">
        <v>798</v>
      </c>
      <c r="K445" t="s">
        <v>155</v>
      </c>
      <c r="M445" t="s">
        <v>216</v>
      </c>
      <c r="N445" s="3"/>
      <c r="O445" s="3"/>
      <c r="P445" s="3"/>
      <c r="Q445" s="3"/>
      <c r="R445" s="3"/>
      <c r="S445" s="3"/>
      <c r="T445" s="3"/>
      <c r="U445" s="3"/>
      <c r="V445" s="3" t="s">
        <v>59</v>
      </c>
      <c r="W445" s="3" t="s">
        <v>59</v>
      </c>
      <c r="X445" s="3" t="s">
        <v>59</v>
      </c>
      <c r="Y445" s="3" t="s">
        <v>59</v>
      </c>
    </row>
    <row r="446" spans="1:25" hidden="1" x14ac:dyDescent="0.3">
      <c r="A446" s="1">
        <v>435</v>
      </c>
      <c r="B446" s="1" t="s">
        <v>801</v>
      </c>
      <c r="C446" s="1" t="s">
        <v>26</v>
      </c>
      <c r="D446" s="1" t="s">
        <v>93</v>
      </c>
      <c r="E446" s="1" t="s">
        <v>40</v>
      </c>
      <c r="F446" s="1" t="s">
        <v>29</v>
      </c>
      <c r="G446" s="1" t="s">
        <v>30</v>
      </c>
      <c r="H446" s="1" t="s">
        <v>153</v>
      </c>
      <c r="I446" s="1">
        <v>100</v>
      </c>
      <c r="J446" s="1" t="s">
        <v>802</v>
      </c>
      <c r="K446" s="1" t="s">
        <v>155</v>
      </c>
      <c r="L446" s="1" t="s">
        <v>34</v>
      </c>
      <c r="M446" s="1" t="s">
        <v>34</v>
      </c>
      <c r="N446" s="7">
        <v>-732.08</v>
      </c>
      <c r="O446" s="4">
        <v>96.09</v>
      </c>
      <c r="P446" s="4">
        <v>71.09</v>
      </c>
      <c r="Q446" s="7">
        <v>-20.67</v>
      </c>
      <c r="R446" s="7">
        <v>-111.57</v>
      </c>
      <c r="S446" s="3" t="s">
        <v>59</v>
      </c>
      <c r="T446" s="3"/>
      <c r="U446" s="3" t="s">
        <v>59</v>
      </c>
      <c r="V446" s="3" t="s">
        <v>59</v>
      </c>
      <c r="W446" s="3" t="s">
        <v>59</v>
      </c>
      <c r="X446" s="3" t="s">
        <v>59</v>
      </c>
      <c r="Y446" s="3" t="s">
        <v>59</v>
      </c>
    </row>
    <row r="447" spans="1:25" hidden="1" x14ac:dyDescent="0.3">
      <c r="A447">
        <v>435</v>
      </c>
      <c r="B447" t="s">
        <v>801</v>
      </c>
      <c r="C447" t="s">
        <v>26</v>
      </c>
      <c r="D447" t="s">
        <v>93</v>
      </c>
      <c r="E447" t="s">
        <v>40</v>
      </c>
      <c r="F447" t="s">
        <v>29</v>
      </c>
      <c r="G447" t="s">
        <v>30</v>
      </c>
      <c r="H447" t="s">
        <v>153</v>
      </c>
      <c r="I447">
        <v>100</v>
      </c>
      <c r="J447" t="s">
        <v>802</v>
      </c>
      <c r="K447" t="s">
        <v>155</v>
      </c>
      <c r="L447" t="s">
        <v>172</v>
      </c>
      <c r="M447" t="s">
        <v>173</v>
      </c>
      <c r="N447" s="3">
        <v>-640</v>
      </c>
      <c r="O447" s="3">
        <v>66.67</v>
      </c>
      <c r="P447" s="3">
        <v>-80</v>
      </c>
      <c r="Q447" s="3">
        <v>-66.67</v>
      </c>
      <c r="R447" s="3">
        <v>-80</v>
      </c>
      <c r="S447" s="3" t="s">
        <v>59</v>
      </c>
      <c r="T447" s="3" t="s">
        <v>59</v>
      </c>
      <c r="U447" s="3" t="s">
        <v>59</v>
      </c>
      <c r="V447" s="3" t="s">
        <v>59</v>
      </c>
      <c r="W447" s="3" t="s">
        <v>59</v>
      </c>
      <c r="X447" s="3" t="s">
        <v>59</v>
      </c>
      <c r="Y447" s="3" t="s">
        <v>59</v>
      </c>
    </row>
    <row r="448" spans="1:25" hidden="1" x14ac:dyDescent="0.3">
      <c r="A448">
        <v>435</v>
      </c>
      <c r="B448" t="s">
        <v>801</v>
      </c>
      <c r="C448" t="s">
        <v>26</v>
      </c>
      <c r="D448" t="s">
        <v>93</v>
      </c>
      <c r="E448" t="s">
        <v>40</v>
      </c>
      <c r="F448" t="s">
        <v>29</v>
      </c>
      <c r="G448" t="s">
        <v>30</v>
      </c>
      <c r="H448" t="s">
        <v>153</v>
      </c>
      <c r="I448">
        <v>100</v>
      </c>
      <c r="J448" t="s">
        <v>802</v>
      </c>
      <c r="K448" t="s">
        <v>155</v>
      </c>
      <c r="L448" t="s">
        <v>174</v>
      </c>
      <c r="M448" t="s">
        <v>175</v>
      </c>
      <c r="N448" s="3">
        <v>-2900</v>
      </c>
      <c r="O448" s="3">
        <v>100</v>
      </c>
      <c r="P448" s="3">
        <v>-33.33</v>
      </c>
      <c r="Q448" s="3">
        <v>40</v>
      </c>
      <c r="R448" s="3">
        <v>-150</v>
      </c>
      <c r="S448" s="3" t="s">
        <v>59</v>
      </c>
      <c r="T448" s="3" t="s">
        <v>59</v>
      </c>
      <c r="U448" s="3" t="s">
        <v>59</v>
      </c>
      <c r="V448" s="3" t="s">
        <v>59</v>
      </c>
      <c r="W448" s="3" t="s">
        <v>59</v>
      </c>
      <c r="X448" s="3" t="s">
        <v>59</v>
      </c>
      <c r="Y448" s="3" t="s">
        <v>59</v>
      </c>
    </row>
    <row r="449" spans="1:25" hidden="1" x14ac:dyDescent="0.3">
      <c r="A449">
        <v>435</v>
      </c>
      <c r="B449" t="s">
        <v>801</v>
      </c>
      <c r="C449" t="s">
        <v>26</v>
      </c>
      <c r="D449" t="s">
        <v>93</v>
      </c>
      <c r="E449" t="s">
        <v>40</v>
      </c>
      <c r="F449" t="s">
        <v>29</v>
      </c>
      <c r="G449" t="s">
        <v>30</v>
      </c>
      <c r="H449" t="s">
        <v>153</v>
      </c>
      <c r="I449">
        <v>100</v>
      </c>
      <c r="J449" t="s">
        <v>802</v>
      </c>
      <c r="K449" t="s">
        <v>155</v>
      </c>
      <c r="L449" t="s">
        <v>176</v>
      </c>
      <c r="M449" t="s">
        <v>177</v>
      </c>
      <c r="N449" s="3" t="s">
        <v>59</v>
      </c>
      <c r="O449" s="3" t="s">
        <v>59</v>
      </c>
      <c r="P449" s="3" t="s">
        <v>59</v>
      </c>
      <c r="Q449" s="3" t="s">
        <v>59</v>
      </c>
      <c r="R449" s="3" t="s">
        <v>59</v>
      </c>
      <c r="S449" s="3" t="s">
        <v>59</v>
      </c>
      <c r="T449" s="3" t="s">
        <v>59</v>
      </c>
      <c r="U449" s="3" t="s">
        <v>59</v>
      </c>
      <c r="V449" s="3" t="s">
        <v>59</v>
      </c>
      <c r="W449" s="3" t="s">
        <v>59</v>
      </c>
      <c r="X449" s="3" t="s">
        <v>59</v>
      </c>
      <c r="Y449" s="3" t="s">
        <v>59</v>
      </c>
    </row>
    <row r="450" spans="1:25" hidden="1" x14ac:dyDescent="0.3">
      <c r="A450">
        <v>435</v>
      </c>
      <c r="B450" t="s">
        <v>801</v>
      </c>
      <c r="C450" t="s">
        <v>26</v>
      </c>
      <c r="D450" t="s">
        <v>93</v>
      </c>
      <c r="E450" t="s">
        <v>40</v>
      </c>
      <c r="F450" t="s">
        <v>29</v>
      </c>
      <c r="G450" t="s">
        <v>30</v>
      </c>
      <c r="H450" t="s">
        <v>153</v>
      </c>
      <c r="I450">
        <v>100</v>
      </c>
      <c r="J450" t="s">
        <v>802</v>
      </c>
      <c r="K450" t="s">
        <v>155</v>
      </c>
      <c r="L450" t="s">
        <v>178</v>
      </c>
      <c r="M450" t="s">
        <v>179</v>
      </c>
      <c r="N450" s="3">
        <v>-3900</v>
      </c>
      <c r="O450" s="3">
        <v>0</v>
      </c>
      <c r="P450" s="3" t="s">
        <v>59</v>
      </c>
      <c r="Q450" s="3">
        <v>90</v>
      </c>
      <c r="R450" s="3">
        <v>-1011.11</v>
      </c>
      <c r="S450" s="3" t="s">
        <v>59</v>
      </c>
      <c r="T450" s="3" t="s">
        <v>59</v>
      </c>
      <c r="U450" s="3" t="s">
        <v>59</v>
      </c>
      <c r="V450" s="3" t="s">
        <v>59</v>
      </c>
      <c r="W450" s="3" t="s">
        <v>59</v>
      </c>
      <c r="X450" s="3" t="s">
        <v>59</v>
      </c>
      <c r="Y450" s="3" t="s">
        <v>59</v>
      </c>
    </row>
    <row r="451" spans="1:25" hidden="1" x14ac:dyDescent="0.3">
      <c r="A451">
        <v>435</v>
      </c>
      <c r="B451" t="s">
        <v>801</v>
      </c>
      <c r="C451" t="s">
        <v>26</v>
      </c>
      <c r="D451" t="s">
        <v>93</v>
      </c>
      <c r="E451" t="s">
        <v>40</v>
      </c>
      <c r="F451" t="s">
        <v>29</v>
      </c>
      <c r="G451" t="s">
        <v>30</v>
      </c>
      <c r="H451" t="s">
        <v>153</v>
      </c>
      <c r="I451">
        <v>100</v>
      </c>
      <c r="J451" t="s">
        <v>802</v>
      </c>
      <c r="K451" t="s">
        <v>155</v>
      </c>
      <c r="L451" t="s">
        <v>180</v>
      </c>
      <c r="M451" t="s">
        <v>181</v>
      </c>
      <c r="N451" s="3">
        <v>0</v>
      </c>
      <c r="O451" s="3">
        <v>100</v>
      </c>
      <c r="P451" s="3">
        <v>100</v>
      </c>
      <c r="Q451" s="3" t="s">
        <v>59</v>
      </c>
      <c r="R451" s="3" t="s">
        <v>59</v>
      </c>
      <c r="S451" s="3" t="s">
        <v>59</v>
      </c>
      <c r="T451" s="3" t="s">
        <v>59</v>
      </c>
      <c r="U451" s="3" t="s">
        <v>59</v>
      </c>
      <c r="V451" s="3" t="s">
        <v>59</v>
      </c>
      <c r="W451" s="3" t="s">
        <v>59</v>
      </c>
      <c r="X451" s="3" t="s">
        <v>59</v>
      </c>
      <c r="Y451" s="3" t="s">
        <v>59</v>
      </c>
    </row>
    <row r="452" spans="1:25" hidden="1" x14ac:dyDescent="0.3">
      <c r="A452">
        <v>435</v>
      </c>
      <c r="B452" t="s">
        <v>801</v>
      </c>
      <c r="C452" t="s">
        <v>26</v>
      </c>
      <c r="D452" t="s">
        <v>93</v>
      </c>
      <c r="E452" t="s">
        <v>40</v>
      </c>
      <c r="F452" t="s">
        <v>29</v>
      </c>
      <c r="G452" t="s">
        <v>30</v>
      </c>
      <c r="H452" t="s">
        <v>153</v>
      </c>
      <c r="I452">
        <v>100</v>
      </c>
      <c r="J452" t="s">
        <v>802</v>
      </c>
      <c r="K452" t="s">
        <v>155</v>
      </c>
      <c r="L452" t="s">
        <v>182</v>
      </c>
      <c r="M452" t="s">
        <v>183</v>
      </c>
      <c r="N452" s="3" t="s">
        <v>59</v>
      </c>
      <c r="O452" s="3" t="s">
        <v>59</v>
      </c>
      <c r="P452" s="3" t="s">
        <v>59</v>
      </c>
      <c r="Q452" s="3" t="s">
        <v>59</v>
      </c>
      <c r="R452" s="3" t="s">
        <v>59</v>
      </c>
      <c r="S452" s="3" t="s">
        <v>59</v>
      </c>
      <c r="T452" s="3" t="s">
        <v>59</v>
      </c>
      <c r="U452" s="3" t="s">
        <v>59</v>
      </c>
      <c r="V452" s="3" t="s">
        <v>59</v>
      </c>
      <c r="W452" s="3" t="s">
        <v>59</v>
      </c>
      <c r="X452" s="3" t="s">
        <v>59</v>
      </c>
      <c r="Y452" s="3" t="s">
        <v>59</v>
      </c>
    </row>
    <row r="453" spans="1:25" hidden="1" x14ac:dyDescent="0.3">
      <c r="A453" s="1">
        <v>439</v>
      </c>
      <c r="B453" s="1" t="s">
        <v>812</v>
      </c>
      <c r="C453" s="1" t="s">
        <v>26</v>
      </c>
      <c r="D453" s="1" t="s">
        <v>519</v>
      </c>
      <c r="E453" s="1" t="s">
        <v>28</v>
      </c>
      <c r="F453" s="1" t="s">
        <v>29</v>
      </c>
      <c r="G453" s="1" t="s">
        <v>30</v>
      </c>
      <c r="H453" s="1" t="s">
        <v>153</v>
      </c>
      <c r="I453" s="1">
        <v>100</v>
      </c>
      <c r="J453" s="1" t="s">
        <v>813</v>
      </c>
      <c r="K453" s="1" t="s">
        <v>186</v>
      </c>
      <c r="L453" s="1" t="s">
        <v>34</v>
      </c>
      <c r="M453" s="1" t="s">
        <v>34</v>
      </c>
      <c r="N453" s="4">
        <v>100</v>
      </c>
      <c r="O453" s="4">
        <v>100</v>
      </c>
      <c r="P453" s="4">
        <v>100</v>
      </c>
      <c r="Q453" s="4">
        <v>100</v>
      </c>
      <c r="R453" s="4">
        <v>100</v>
      </c>
      <c r="S453" s="3" t="s">
        <v>59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</row>
    <row r="454" spans="1:25" hidden="1" x14ac:dyDescent="0.3">
      <c r="A454">
        <v>439</v>
      </c>
      <c r="B454" t="s">
        <v>812</v>
      </c>
      <c r="C454" t="s">
        <v>26</v>
      </c>
      <c r="D454" t="s">
        <v>519</v>
      </c>
      <c r="E454" t="s">
        <v>28</v>
      </c>
      <c r="F454" t="s">
        <v>29</v>
      </c>
      <c r="G454" t="s">
        <v>30</v>
      </c>
      <c r="H454" t="s">
        <v>153</v>
      </c>
      <c r="I454">
        <v>100</v>
      </c>
      <c r="J454" t="s">
        <v>813</v>
      </c>
      <c r="K454" t="s">
        <v>186</v>
      </c>
      <c r="L454" t="s">
        <v>355</v>
      </c>
      <c r="M454" t="s">
        <v>356</v>
      </c>
      <c r="N454" s="3">
        <v>100</v>
      </c>
      <c r="O454" s="3">
        <v>100</v>
      </c>
      <c r="P454" s="3" t="s">
        <v>59</v>
      </c>
      <c r="Q454" s="3">
        <v>100</v>
      </c>
      <c r="R454" s="3">
        <v>100</v>
      </c>
      <c r="S454" s="3" t="s">
        <v>59</v>
      </c>
      <c r="T454" s="3" t="s">
        <v>59</v>
      </c>
      <c r="U454" s="3" t="s">
        <v>59</v>
      </c>
      <c r="V454" s="3" t="s">
        <v>59</v>
      </c>
      <c r="W454" s="3" t="s">
        <v>59</v>
      </c>
      <c r="X454" s="3" t="s">
        <v>59</v>
      </c>
      <c r="Y454" s="3" t="s">
        <v>59</v>
      </c>
    </row>
    <row r="455" spans="1:25" hidden="1" x14ac:dyDescent="0.3">
      <c r="A455">
        <v>439</v>
      </c>
      <c r="B455" t="s">
        <v>812</v>
      </c>
      <c r="C455" t="s">
        <v>26</v>
      </c>
      <c r="D455" t="s">
        <v>519</v>
      </c>
      <c r="E455" t="s">
        <v>28</v>
      </c>
      <c r="F455" t="s">
        <v>29</v>
      </c>
      <c r="G455" t="s">
        <v>30</v>
      </c>
      <c r="H455" t="s">
        <v>153</v>
      </c>
      <c r="I455">
        <v>100</v>
      </c>
      <c r="J455" t="s">
        <v>813</v>
      </c>
      <c r="K455" t="s">
        <v>186</v>
      </c>
      <c r="L455" t="s">
        <v>357</v>
      </c>
      <c r="M455" t="s">
        <v>358</v>
      </c>
      <c r="N455" s="3">
        <v>100</v>
      </c>
      <c r="O455" s="3">
        <v>100</v>
      </c>
      <c r="P455" s="3" t="s">
        <v>59</v>
      </c>
      <c r="Q455" s="3">
        <v>100</v>
      </c>
      <c r="R455" s="3">
        <v>100</v>
      </c>
      <c r="S455" s="3" t="s">
        <v>59</v>
      </c>
      <c r="T455" s="3" t="s">
        <v>59</v>
      </c>
      <c r="U455" s="3" t="s">
        <v>59</v>
      </c>
      <c r="V455" s="3" t="s">
        <v>59</v>
      </c>
      <c r="W455" s="3" t="s">
        <v>59</v>
      </c>
      <c r="X455" s="3" t="s">
        <v>59</v>
      </c>
      <c r="Y455" s="3" t="s">
        <v>59</v>
      </c>
    </row>
    <row r="456" spans="1:25" hidden="1" x14ac:dyDescent="0.3">
      <c r="A456" s="1">
        <v>440</v>
      </c>
      <c r="B456" s="1" t="s">
        <v>814</v>
      </c>
      <c r="C456" s="1" t="s">
        <v>26</v>
      </c>
      <c r="D456" s="1" t="s">
        <v>519</v>
      </c>
      <c r="E456" s="1" t="s">
        <v>28</v>
      </c>
      <c r="F456" s="1" t="s">
        <v>29</v>
      </c>
      <c r="G456" s="1" t="s">
        <v>30</v>
      </c>
      <c r="H456" s="1" t="s">
        <v>153</v>
      </c>
      <c r="I456" s="1">
        <v>98</v>
      </c>
      <c r="J456" s="1" t="s">
        <v>815</v>
      </c>
      <c r="K456" s="1" t="s">
        <v>155</v>
      </c>
      <c r="L456" s="1" t="s">
        <v>34</v>
      </c>
      <c r="M456" s="1" t="s">
        <v>34</v>
      </c>
      <c r="N456" s="4">
        <v>99.74</v>
      </c>
      <c r="O456" s="4">
        <v>99.77</v>
      </c>
      <c r="P456" s="4">
        <v>99.24</v>
      </c>
      <c r="Q456" s="4">
        <v>99.73</v>
      </c>
      <c r="R456" s="6">
        <v>97.746062537526996</v>
      </c>
      <c r="S456" s="3" t="s">
        <v>59</v>
      </c>
      <c r="T456" s="3" t="s">
        <v>59</v>
      </c>
      <c r="U456" s="3" t="s">
        <v>59</v>
      </c>
      <c r="V456" s="3" t="s">
        <v>59</v>
      </c>
      <c r="W456" s="3" t="s">
        <v>59</v>
      </c>
      <c r="X456" s="3" t="s">
        <v>59</v>
      </c>
      <c r="Y456" s="3" t="s">
        <v>59</v>
      </c>
    </row>
    <row r="457" spans="1:25" hidden="1" x14ac:dyDescent="0.3">
      <c r="A457">
        <v>440</v>
      </c>
      <c r="B457" t="s">
        <v>814</v>
      </c>
      <c r="C457" t="s">
        <v>26</v>
      </c>
      <c r="D457" t="s">
        <v>519</v>
      </c>
      <c r="E457" t="s">
        <v>28</v>
      </c>
      <c r="F457" t="s">
        <v>29</v>
      </c>
      <c r="G457" t="s">
        <v>30</v>
      </c>
      <c r="H457" t="s">
        <v>153</v>
      </c>
      <c r="I457">
        <v>98</v>
      </c>
      <c r="J457" t="s">
        <v>815</v>
      </c>
      <c r="K457" t="s">
        <v>155</v>
      </c>
      <c r="L457" t="s">
        <v>355</v>
      </c>
      <c r="M457" t="s">
        <v>356</v>
      </c>
      <c r="N457" s="3">
        <v>99.77</v>
      </c>
      <c r="O457" s="3">
        <v>99.81</v>
      </c>
      <c r="P457" s="3">
        <v>99.25</v>
      </c>
      <c r="Q457" s="3">
        <v>99.76</v>
      </c>
      <c r="R457" s="3">
        <v>97.66</v>
      </c>
      <c r="S457" s="3" t="s">
        <v>59</v>
      </c>
      <c r="T457" s="3" t="s">
        <v>59</v>
      </c>
      <c r="U457" s="3" t="s">
        <v>59</v>
      </c>
      <c r="V457" s="3" t="s">
        <v>59</v>
      </c>
      <c r="W457" s="3" t="s">
        <v>59</v>
      </c>
      <c r="X457" s="3" t="s">
        <v>59</v>
      </c>
      <c r="Y457" s="3" t="s">
        <v>59</v>
      </c>
    </row>
    <row r="458" spans="1:25" hidden="1" x14ac:dyDescent="0.3">
      <c r="A458">
        <v>440</v>
      </c>
      <c r="B458" t="s">
        <v>814</v>
      </c>
      <c r="C458" t="s">
        <v>26</v>
      </c>
      <c r="D458" t="s">
        <v>519</v>
      </c>
      <c r="E458" t="s">
        <v>28</v>
      </c>
      <c r="F458" t="s">
        <v>29</v>
      </c>
      <c r="G458" t="s">
        <v>30</v>
      </c>
      <c r="H458" t="s">
        <v>153</v>
      </c>
      <c r="I458">
        <v>98</v>
      </c>
      <c r="J458" t="s">
        <v>815</v>
      </c>
      <c r="K458" t="s">
        <v>155</v>
      </c>
      <c r="L458" t="s">
        <v>357</v>
      </c>
      <c r="M458" t="s">
        <v>358</v>
      </c>
      <c r="N458" s="3">
        <v>99.43</v>
      </c>
      <c r="O458" s="3">
        <v>99.25</v>
      </c>
      <c r="P458" s="3">
        <v>99.02</v>
      </c>
      <c r="Q458" s="3">
        <v>99.31</v>
      </c>
      <c r="R458" s="3">
        <v>98.99</v>
      </c>
      <c r="S458" s="3" t="s">
        <v>59</v>
      </c>
      <c r="T458" s="3" t="s">
        <v>59</v>
      </c>
      <c r="U458" s="3" t="s">
        <v>59</v>
      </c>
      <c r="V458" s="3" t="s">
        <v>59</v>
      </c>
      <c r="W458" s="3" t="s">
        <v>59</v>
      </c>
      <c r="X458" s="3" t="s">
        <v>59</v>
      </c>
      <c r="Y458" s="3" t="s">
        <v>59</v>
      </c>
    </row>
    <row r="459" spans="1:25" hidden="1" x14ac:dyDescent="0.3">
      <c r="A459" s="1">
        <v>444</v>
      </c>
      <c r="B459" s="1" t="s">
        <v>816</v>
      </c>
      <c r="C459" s="1" t="s">
        <v>26</v>
      </c>
      <c r="D459" s="1" t="s">
        <v>295</v>
      </c>
      <c r="E459" s="1" t="s">
        <v>28</v>
      </c>
      <c r="F459" s="1" t="s">
        <v>29</v>
      </c>
      <c r="G459" s="1" t="s">
        <v>41</v>
      </c>
      <c r="H459" s="1" t="s">
        <v>31</v>
      </c>
      <c r="I459" s="1">
        <v>3</v>
      </c>
      <c r="J459" s="1" t="s">
        <v>817</v>
      </c>
      <c r="K459" s="1" t="s">
        <v>33</v>
      </c>
      <c r="L459" s="1" t="s">
        <v>33</v>
      </c>
      <c r="M459" s="1" t="s">
        <v>34</v>
      </c>
      <c r="N459" s="5">
        <v>1.7</v>
      </c>
      <c r="O459" s="5">
        <v>1.6</v>
      </c>
      <c r="P459" s="9">
        <v>2.1</v>
      </c>
      <c r="Q459" s="3"/>
      <c r="R459" s="3"/>
      <c r="S459" s="3"/>
      <c r="T459" s="3"/>
      <c r="U459" s="3"/>
      <c r="V459" s="3"/>
      <c r="W459" s="3"/>
      <c r="X459" s="3"/>
      <c r="Y459" s="3"/>
    </row>
    <row r="460" spans="1:25" hidden="1" x14ac:dyDescent="0.3">
      <c r="A460" s="1">
        <v>445</v>
      </c>
      <c r="B460" s="1" t="s">
        <v>818</v>
      </c>
      <c r="C460" s="1" t="s">
        <v>26</v>
      </c>
      <c r="D460" s="1" t="s">
        <v>295</v>
      </c>
      <c r="E460" s="1" t="s">
        <v>44</v>
      </c>
      <c r="F460" s="1" t="s">
        <v>29</v>
      </c>
      <c r="G460" s="1" t="s">
        <v>30</v>
      </c>
      <c r="H460" s="1" t="s">
        <v>31</v>
      </c>
      <c r="I460" s="1">
        <v>70</v>
      </c>
      <c r="J460" s="1" t="s">
        <v>819</v>
      </c>
      <c r="K460" s="1" t="s">
        <v>33</v>
      </c>
      <c r="L460" s="1" t="s">
        <v>33</v>
      </c>
      <c r="M460" s="1" t="s">
        <v>34</v>
      </c>
      <c r="N460" s="5">
        <v>85.3</v>
      </c>
      <c r="O460" s="5">
        <v>75.7</v>
      </c>
      <c r="P460" s="5">
        <v>86.5</v>
      </c>
      <c r="Q460" s="6">
        <v>55.2</v>
      </c>
      <c r="R460" s="3"/>
      <c r="S460" s="3"/>
      <c r="T460" s="3"/>
      <c r="U460" s="3"/>
      <c r="V460" s="3"/>
      <c r="W460" s="3"/>
      <c r="X460" s="3"/>
      <c r="Y460" s="3"/>
    </row>
    <row r="461" spans="1:25" hidden="1" x14ac:dyDescent="0.3">
      <c r="A461" s="1">
        <v>447</v>
      </c>
      <c r="B461" s="1" t="s">
        <v>426</v>
      </c>
      <c r="C461" s="1" t="s">
        <v>26</v>
      </c>
      <c r="D461" s="1" t="s">
        <v>132</v>
      </c>
      <c r="E461" s="1" t="s">
        <v>28</v>
      </c>
      <c r="F461" s="1" t="s">
        <v>29</v>
      </c>
      <c r="G461" s="1" t="s">
        <v>30</v>
      </c>
      <c r="H461" s="1" t="s">
        <v>31</v>
      </c>
      <c r="I461" s="1">
        <v>15</v>
      </c>
      <c r="J461" s="1" t="s">
        <v>820</v>
      </c>
      <c r="K461" s="1" t="s">
        <v>33</v>
      </c>
      <c r="L461" s="1" t="s">
        <v>33</v>
      </c>
      <c r="M461" s="1" t="s">
        <v>34</v>
      </c>
      <c r="N461" s="4">
        <v>15.01</v>
      </c>
      <c r="O461" s="5">
        <v>16.54</v>
      </c>
      <c r="P461" s="4">
        <v>16.16</v>
      </c>
      <c r="Q461" s="5">
        <v>31.04</v>
      </c>
      <c r="R461" s="3"/>
      <c r="S461" s="3"/>
      <c r="T461" s="3"/>
      <c r="U461" s="3"/>
      <c r="V461" s="3"/>
      <c r="W461" s="3"/>
      <c r="X461" s="3"/>
      <c r="Y461" s="3"/>
    </row>
    <row r="462" spans="1:25" hidden="1" x14ac:dyDescent="0.3">
      <c r="A462" s="1">
        <v>448</v>
      </c>
      <c r="B462" s="1" t="s">
        <v>821</v>
      </c>
      <c r="C462" s="1" t="s">
        <v>26</v>
      </c>
      <c r="D462" s="1" t="s">
        <v>132</v>
      </c>
      <c r="E462" s="1" t="s">
        <v>28</v>
      </c>
      <c r="F462" s="1" t="s">
        <v>29</v>
      </c>
      <c r="G462" s="1" t="s">
        <v>30</v>
      </c>
      <c r="H462" s="1" t="s">
        <v>31</v>
      </c>
      <c r="I462" s="1">
        <v>17</v>
      </c>
      <c r="J462" s="1" t="s">
        <v>822</v>
      </c>
      <c r="K462" s="1" t="s">
        <v>33</v>
      </c>
      <c r="L462" s="1" t="s">
        <v>33</v>
      </c>
      <c r="M462" s="1" t="s">
        <v>34</v>
      </c>
      <c r="N462" s="5">
        <v>59.36</v>
      </c>
      <c r="O462" s="5">
        <v>39.619999999999997</v>
      </c>
      <c r="P462" s="4">
        <v>9.32</v>
      </c>
      <c r="Q462" s="5">
        <v>18.93</v>
      </c>
      <c r="R462" s="3"/>
      <c r="S462" s="3"/>
      <c r="T462" s="3"/>
      <c r="U462" s="3"/>
      <c r="V462" s="3"/>
      <c r="W462" s="3"/>
      <c r="X462" s="3"/>
      <c r="Y462" s="3"/>
    </row>
    <row r="463" spans="1:25" hidden="1" x14ac:dyDescent="0.3">
      <c r="A463" s="1">
        <v>451</v>
      </c>
      <c r="B463" s="1" t="s">
        <v>823</v>
      </c>
      <c r="C463" s="1" t="s">
        <v>26</v>
      </c>
      <c r="D463" s="1" t="s">
        <v>605</v>
      </c>
      <c r="E463" s="1" t="s">
        <v>44</v>
      </c>
      <c r="F463" s="1" t="s">
        <v>29</v>
      </c>
      <c r="G463" s="1" t="s">
        <v>30</v>
      </c>
      <c r="H463" s="1" t="s">
        <v>31</v>
      </c>
      <c r="I463" s="1">
        <v>100</v>
      </c>
      <c r="J463" s="1" t="s">
        <v>824</v>
      </c>
      <c r="K463" s="1" t="s">
        <v>33</v>
      </c>
      <c r="L463" s="1" t="s">
        <v>33</v>
      </c>
      <c r="M463" s="1" t="s">
        <v>34</v>
      </c>
      <c r="N463" s="5">
        <v>130.80000000000001</v>
      </c>
      <c r="O463" s="5">
        <v>119.5</v>
      </c>
      <c r="P463" s="9">
        <v>42.7</v>
      </c>
      <c r="Q463" s="9">
        <v>34.9</v>
      </c>
      <c r="R463" s="3"/>
      <c r="S463" s="3"/>
      <c r="T463" s="3"/>
      <c r="U463" s="3"/>
      <c r="V463" s="3"/>
      <c r="W463" s="3"/>
      <c r="X463" s="3"/>
      <c r="Y463" s="3"/>
    </row>
    <row r="464" spans="1:25" hidden="1" x14ac:dyDescent="0.3">
      <c r="A464" s="1">
        <v>452</v>
      </c>
      <c r="B464" s="1" t="s">
        <v>825</v>
      </c>
      <c r="C464" s="1" t="s">
        <v>26</v>
      </c>
      <c r="D464" s="1" t="s">
        <v>605</v>
      </c>
      <c r="E464" s="1" t="s">
        <v>28</v>
      </c>
      <c r="F464" s="1" t="s">
        <v>29</v>
      </c>
      <c r="G464" s="1" t="s">
        <v>30</v>
      </c>
      <c r="H464" s="1" t="s">
        <v>31</v>
      </c>
      <c r="I464" s="1">
        <v>100</v>
      </c>
      <c r="J464" s="1" t="s">
        <v>826</v>
      </c>
      <c r="K464" s="1" t="s">
        <v>33</v>
      </c>
      <c r="L464" s="1" t="s">
        <v>33</v>
      </c>
      <c r="M464" s="1" t="s">
        <v>34</v>
      </c>
      <c r="N464" s="3"/>
      <c r="O464" s="3"/>
      <c r="P464" s="5">
        <v>160</v>
      </c>
      <c r="Q464" s="4">
        <v>100</v>
      </c>
      <c r="R464" s="3"/>
      <c r="S464" s="3"/>
      <c r="T464" s="3"/>
      <c r="U464" s="3"/>
      <c r="V464" s="3"/>
      <c r="W464" s="3"/>
      <c r="X464" s="3"/>
      <c r="Y464" s="3"/>
    </row>
    <row r="465" spans="1:25" hidden="1" x14ac:dyDescent="0.3">
      <c r="A465" s="1">
        <v>466</v>
      </c>
      <c r="B465" s="1" t="s">
        <v>839</v>
      </c>
      <c r="C465" s="1" t="s">
        <v>47</v>
      </c>
      <c r="D465" s="1" t="s">
        <v>360</v>
      </c>
      <c r="E465" s="1" t="s">
        <v>28</v>
      </c>
      <c r="F465" s="1" t="s">
        <v>29</v>
      </c>
      <c r="G465" s="1" t="s">
        <v>30</v>
      </c>
      <c r="H465" s="1" t="s">
        <v>31</v>
      </c>
      <c r="I465" s="1">
        <v>100</v>
      </c>
      <c r="J465" s="1" t="s">
        <v>840</v>
      </c>
      <c r="K465" s="1" t="s">
        <v>33</v>
      </c>
      <c r="L465" s="1" t="s">
        <v>33</v>
      </c>
      <c r="M465" s="1" t="s">
        <v>34</v>
      </c>
      <c r="N465" s="5">
        <v>106.55</v>
      </c>
      <c r="O465" s="3" t="s">
        <v>59</v>
      </c>
      <c r="P465" s="5">
        <v>107.6</v>
      </c>
      <c r="Q465" s="5">
        <v>119.2</v>
      </c>
      <c r="R465" s="3"/>
      <c r="S465" s="3"/>
      <c r="T465" s="3"/>
      <c r="U465" s="3"/>
      <c r="V465" s="3"/>
      <c r="W465" s="3"/>
      <c r="X465" s="3"/>
      <c r="Y465" s="3"/>
    </row>
    <row r="466" spans="1:25" hidden="1" x14ac:dyDescent="0.3">
      <c r="A466" s="1">
        <v>467</v>
      </c>
      <c r="B466" s="1" t="s">
        <v>841</v>
      </c>
      <c r="C466" s="1" t="s">
        <v>47</v>
      </c>
      <c r="D466" s="1" t="s">
        <v>360</v>
      </c>
      <c r="E466" s="1" t="s">
        <v>28</v>
      </c>
      <c r="F466" s="1" t="s">
        <v>29</v>
      </c>
      <c r="G466" s="1" t="s">
        <v>30</v>
      </c>
      <c r="H466" s="1" t="s">
        <v>31</v>
      </c>
      <c r="I466" s="1">
        <v>100</v>
      </c>
      <c r="J466" s="1" t="s">
        <v>842</v>
      </c>
      <c r="K466" s="1" t="s">
        <v>33</v>
      </c>
      <c r="L466" s="1" t="s">
        <v>33</v>
      </c>
      <c r="M466" s="1" t="s">
        <v>34</v>
      </c>
      <c r="N466" s="6">
        <v>99.5</v>
      </c>
      <c r="O466" s="5">
        <v>118</v>
      </c>
      <c r="P466" s="5">
        <v>121.83</v>
      </c>
      <c r="Q466" s="5">
        <v>121.25</v>
      </c>
      <c r="R466" s="3"/>
      <c r="S466" s="3"/>
      <c r="T466" s="3"/>
      <c r="U466" s="3"/>
      <c r="V466" s="3"/>
      <c r="W466" s="3"/>
      <c r="X466" s="3"/>
      <c r="Y466" s="3"/>
    </row>
    <row r="467" spans="1:25" hidden="1" x14ac:dyDescent="0.3">
      <c r="A467" s="1">
        <v>468</v>
      </c>
      <c r="B467" s="1" t="s">
        <v>843</v>
      </c>
      <c r="C467" s="1" t="s">
        <v>47</v>
      </c>
      <c r="D467" s="1" t="s">
        <v>360</v>
      </c>
      <c r="E467" s="1" t="s">
        <v>28</v>
      </c>
      <c r="F467" s="1" t="s">
        <v>29</v>
      </c>
      <c r="G467" s="1" t="s">
        <v>41</v>
      </c>
      <c r="H467" s="1" t="s">
        <v>31</v>
      </c>
      <c r="I467" s="1">
        <v>2.5</v>
      </c>
      <c r="J467" s="1" t="s">
        <v>844</v>
      </c>
      <c r="K467" s="1" t="s">
        <v>33</v>
      </c>
      <c r="L467" s="1" t="s">
        <v>33</v>
      </c>
      <c r="M467" s="1" t="s">
        <v>34</v>
      </c>
      <c r="N467" s="5">
        <v>2.1</v>
      </c>
      <c r="O467" s="4">
        <v>2.4</v>
      </c>
      <c r="P467" s="4">
        <v>2.6</v>
      </c>
      <c r="Q467" s="4">
        <v>2.85</v>
      </c>
      <c r="R467" s="3"/>
      <c r="S467" s="3"/>
      <c r="T467" s="3"/>
      <c r="U467" s="3"/>
      <c r="V467" s="3"/>
      <c r="W467" s="3"/>
      <c r="X467" s="3"/>
      <c r="Y467" s="3"/>
    </row>
    <row r="468" spans="1:25" hidden="1" x14ac:dyDescent="0.3">
      <c r="A468" s="1">
        <v>473</v>
      </c>
      <c r="B468" s="1" t="s">
        <v>895</v>
      </c>
      <c r="C468" s="1" t="s">
        <v>47</v>
      </c>
      <c r="D468" s="1" t="s">
        <v>896</v>
      </c>
      <c r="E468" s="1" t="s">
        <v>28</v>
      </c>
      <c r="F468" s="1" t="s">
        <v>29</v>
      </c>
      <c r="G468" s="1" t="s">
        <v>30</v>
      </c>
      <c r="H468" s="1" t="s">
        <v>153</v>
      </c>
      <c r="I468" s="1">
        <v>100</v>
      </c>
      <c r="J468" s="1" t="s">
        <v>897</v>
      </c>
      <c r="K468" s="1" t="s">
        <v>207</v>
      </c>
      <c r="L468" s="1" t="s">
        <v>34</v>
      </c>
      <c r="M468" s="1" t="s">
        <v>34</v>
      </c>
      <c r="N468" s="3" t="s">
        <v>59</v>
      </c>
      <c r="O468" s="4">
        <v>100</v>
      </c>
      <c r="P468" s="4">
        <v>100</v>
      </c>
      <c r="Q468" s="4">
        <v>100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 t="s">
        <v>59</v>
      </c>
      <c r="X468" s="3" t="s">
        <v>59</v>
      </c>
      <c r="Y468" s="3" t="s">
        <v>59</v>
      </c>
    </row>
    <row r="469" spans="1:25" hidden="1" x14ac:dyDescent="0.3">
      <c r="A469">
        <v>473</v>
      </c>
      <c r="B469" t="s">
        <v>895</v>
      </c>
      <c r="C469" t="s">
        <v>47</v>
      </c>
      <c r="D469" t="s">
        <v>896</v>
      </c>
      <c r="E469" t="s">
        <v>28</v>
      </c>
      <c r="F469" t="s">
        <v>29</v>
      </c>
      <c r="G469" t="s">
        <v>30</v>
      </c>
      <c r="H469" t="s">
        <v>153</v>
      </c>
      <c r="I469">
        <v>100</v>
      </c>
      <c r="J469" t="s">
        <v>897</v>
      </c>
      <c r="K469" t="s">
        <v>207</v>
      </c>
      <c r="L469" t="s">
        <v>898</v>
      </c>
      <c r="M469" t="s">
        <v>899</v>
      </c>
      <c r="N469" s="3" t="s">
        <v>59</v>
      </c>
      <c r="O469" s="3">
        <v>100</v>
      </c>
      <c r="P469" s="3">
        <v>100</v>
      </c>
      <c r="Q469" s="3">
        <v>100</v>
      </c>
      <c r="R469" s="3" t="s">
        <v>59</v>
      </c>
      <c r="S469" s="3" t="s">
        <v>59</v>
      </c>
      <c r="T469" s="3" t="s">
        <v>59</v>
      </c>
      <c r="U469" s="3" t="s">
        <v>59</v>
      </c>
      <c r="V469" s="3" t="s">
        <v>59</v>
      </c>
      <c r="W469" s="3" t="s">
        <v>59</v>
      </c>
      <c r="X469" s="3" t="s">
        <v>59</v>
      </c>
      <c r="Y469" s="3" t="s">
        <v>59</v>
      </c>
    </row>
    <row r="470" spans="1:25" hidden="1" x14ac:dyDescent="0.3">
      <c r="A470">
        <v>473</v>
      </c>
      <c r="B470" t="s">
        <v>895</v>
      </c>
      <c r="C470" t="s">
        <v>47</v>
      </c>
      <c r="D470" t="s">
        <v>896</v>
      </c>
      <c r="E470" t="s">
        <v>28</v>
      </c>
      <c r="F470" t="s">
        <v>29</v>
      </c>
      <c r="G470" t="s">
        <v>30</v>
      </c>
      <c r="H470" t="s">
        <v>153</v>
      </c>
      <c r="I470">
        <v>100</v>
      </c>
      <c r="J470" t="s">
        <v>897</v>
      </c>
      <c r="K470" t="s">
        <v>207</v>
      </c>
      <c r="L470" t="s">
        <v>900</v>
      </c>
      <c r="M470" t="s">
        <v>901</v>
      </c>
      <c r="N470" s="3" t="s">
        <v>59</v>
      </c>
      <c r="O470" s="3">
        <v>100</v>
      </c>
      <c r="P470" s="3">
        <v>100</v>
      </c>
      <c r="Q470" s="3">
        <v>100</v>
      </c>
      <c r="R470" s="3" t="s">
        <v>59</v>
      </c>
      <c r="S470" s="3" t="s">
        <v>59</v>
      </c>
      <c r="T470" s="3" t="s">
        <v>59</v>
      </c>
      <c r="U470" s="3" t="s">
        <v>59</v>
      </c>
      <c r="V470" s="3" t="s">
        <v>59</v>
      </c>
      <c r="W470" s="3" t="s">
        <v>59</v>
      </c>
      <c r="X470" s="3" t="s">
        <v>59</v>
      </c>
      <c r="Y470" s="3" t="s">
        <v>59</v>
      </c>
    </row>
    <row r="471" spans="1:25" hidden="1" x14ac:dyDescent="0.3">
      <c r="A471">
        <v>473</v>
      </c>
      <c r="B471" t="s">
        <v>895</v>
      </c>
      <c r="C471" t="s">
        <v>47</v>
      </c>
      <c r="D471" t="s">
        <v>896</v>
      </c>
      <c r="E471" t="s">
        <v>28</v>
      </c>
      <c r="F471" t="s">
        <v>29</v>
      </c>
      <c r="G471" t="s">
        <v>30</v>
      </c>
      <c r="H471" t="s">
        <v>153</v>
      </c>
      <c r="I471">
        <v>100</v>
      </c>
      <c r="J471" t="s">
        <v>897</v>
      </c>
      <c r="K471" t="s">
        <v>207</v>
      </c>
      <c r="L471" t="s">
        <v>902</v>
      </c>
      <c r="M471" t="s">
        <v>903</v>
      </c>
      <c r="N471" s="3" t="s">
        <v>59</v>
      </c>
      <c r="O471" s="3">
        <v>100</v>
      </c>
      <c r="P471" s="3">
        <v>100</v>
      </c>
      <c r="Q471" s="3" t="s">
        <v>59</v>
      </c>
      <c r="R471" s="3" t="s">
        <v>59</v>
      </c>
      <c r="S471" s="3" t="s">
        <v>59</v>
      </c>
      <c r="T471" s="3" t="s">
        <v>59</v>
      </c>
      <c r="U471" s="3" t="s">
        <v>59</v>
      </c>
      <c r="V471" s="3" t="s">
        <v>59</v>
      </c>
      <c r="W471" s="3" t="s">
        <v>59</v>
      </c>
      <c r="X471" s="3" t="s">
        <v>59</v>
      </c>
      <c r="Y471" s="3" t="s">
        <v>59</v>
      </c>
    </row>
    <row r="472" spans="1:25" hidden="1" x14ac:dyDescent="0.3">
      <c r="A472" s="1">
        <v>474</v>
      </c>
      <c r="B472" s="1" t="s">
        <v>904</v>
      </c>
      <c r="C472" s="1" t="s">
        <v>47</v>
      </c>
      <c r="D472" s="1" t="s">
        <v>571</v>
      </c>
      <c r="E472" s="1" t="s">
        <v>28</v>
      </c>
      <c r="F472" s="1" t="s">
        <v>29</v>
      </c>
      <c r="G472" s="1" t="s">
        <v>30</v>
      </c>
      <c r="H472" s="1" t="s">
        <v>153</v>
      </c>
      <c r="I472" s="1"/>
      <c r="J472" s="1" t="s">
        <v>905</v>
      </c>
      <c r="K472" s="1" t="s">
        <v>186</v>
      </c>
      <c r="L472" s="1" t="s">
        <v>34</v>
      </c>
      <c r="M472" s="1" t="s">
        <v>34</v>
      </c>
      <c r="N472" s="3"/>
      <c r="O472" s="3">
        <v>0</v>
      </c>
      <c r="P472" s="4">
        <v>100</v>
      </c>
      <c r="Q472" s="4">
        <v>100</v>
      </c>
      <c r="R472" s="3" t="s">
        <v>59</v>
      </c>
      <c r="S472" s="3" t="s">
        <v>59</v>
      </c>
      <c r="T472" s="3" t="s">
        <v>59</v>
      </c>
      <c r="U472" s="3" t="s">
        <v>59</v>
      </c>
      <c r="V472" s="3" t="s">
        <v>59</v>
      </c>
      <c r="W472" s="3" t="s">
        <v>59</v>
      </c>
      <c r="X472" s="3" t="s">
        <v>59</v>
      </c>
      <c r="Y472" s="3" t="s">
        <v>59</v>
      </c>
    </row>
    <row r="473" spans="1:25" hidden="1" x14ac:dyDescent="0.3">
      <c r="A473">
        <v>474</v>
      </c>
      <c r="B473" t="s">
        <v>904</v>
      </c>
      <c r="C473" t="s">
        <v>47</v>
      </c>
      <c r="D473" t="s">
        <v>571</v>
      </c>
      <c r="E473" t="s">
        <v>28</v>
      </c>
      <c r="F473" t="s">
        <v>29</v>
      </c>
      <c r="G473" t="s">
        <v>30</v>
      </c>
      <c r="H473" t="s">
        <v>153</v>
      </c>
      <c r="J473" t="s">
        <v>905</v>
      </c>
      <c r="K473" t="s">
        <v>186</v>
      </c>
      <c r="L473" t="s">
        <v>573</v>
      </c>
      <c r="M473" t="s">
        <v>574</v>
      </c>
      <c r="N473" s="3" t="s">
        <v>59</v>
      </c>
      <c r="O473" s="3" t="s">
        <v>59</v>
      </c>
      <c r="P473" s="3">
        <v>100</v>
      </c>
      <c r="Q473" s="3" t="s">
        <v>59</v>
      </c>
      <c r="R473" s="3" t="s">
        <v>59</v>
      </c>
      <c r="S473" s="3" t="s">
        <v>59</v>
      </c>
      <c r="T473" s="3" t="s">
        <v>59</v>
      </c>
      <c r="U473" s="3" t="s">
        <v>59</v>
      </c>
      <c r="V473" s="3" t="s">
        <v>59</v>
      </c>
      <c r="W473" s="3" t="s">
        <v>59</v>
      </c>
      <c r="X473" s="3" t="s">
        <v>59</v>
      </c>
      <c r="Y473" s="3" t="s">
        <v>59</v>
      </c>
    </row>
    <row r="474" spans="1:25" hidden="1" x14ac:dyDescent="0.3">
      <c r="A474">
        <v>474</v>
      </c>
      <c r="B474" t="s">
        <v>904</v>
      </c>
      <c r="C474" t="s">
        <v>47</v>
      </c>
      <c r="D474" t="s">
        <v>571</v>
      </c>
      <c r="E474" t="s">
        <v>28</v>
      </c>
      <c r="F474" t="s">
        <v>29</v>
      </c>
      <c r="G474" t="s">
        <v>30</v>
      </c>
      <c r="H474" t="s">
        <v>153</v>
      </c>
      <c r="J474" t="s">
        <v>905</v>
      </c>
      <c r="K474" t="s">
        <v>186</v>
      </c>
      <c r="L474" t="s">
        <v>575</v>
      </c>
      <c r="M474" t="s">
        <v>576</v>
      </c>
      <c r="N474" s="3" t="s">
        <v>59</v>
      </c>
      <c r="O474" s="3" t="s">
        <v>59</v>
      </c>
      <c r="P474" s="3" t="s">
        <v>59</v>
      </c>
      <c r="Q474" s="3" t="s">
        <v>59</v>
      </c>
      <c r="R474" s="3" t="s">
        <v>59</v>
      </c>
      <c r="S474" s="3" t="s">
        <v>59</v>
      </c>
      <c r="T474" s="3" t="s">
        <v>59</v>
      </c>
      <c r="U474" s="3" t="s">
        <v>59</v>
      </c>
      <c r="V474" s="3" t="s">
        <v>59</v>
      </c>
      <c r="W474" s="3" t="s">
        <v>59</v>
      </c>
      <c r="X474" s="3" t="s">
        <v>59</v>
      </c>
      <c r="Y474" s="3" t="s">
        <v>59</v>
      </c>
    </row>
    <row r="475" spans="1:25" hidden="1" x14ac:dyDescent="0.3">
      <c r="A475">
        <v>474</v>
      </c>
      <c r="B475" t="s">
        <v>904</v>
      </c>
      <c r="C475" t="s">
        <v>47</v>
      </c>
      <c r="D475" t="s">
        <v>571</v>
      </c>
      <c r="E475" t="s">
        <v>28</v>
      </c>
      <c r="F475" t="s">
        <v>29</v>
      </c>
      <c r="G475" t="s">
        <v>30</v>
      </c>
      <c r="H475" t="s">
        <v>153</v>
      </c>
      <c r="J475" t="s">
        <v>905</v>
      </c>
      <c r="K475" t="s">
        <v>186</v>
      </c>
      <c r="L475" t="s">
        <v>577</v>
      </c>
      <c r="M475" t="s">
        <v>578</v>
      </c>
      <c r="N475" s="3" t="s">
        <v>59</v>
      </c>
      <c r="O475" s="3" t="s">
        <v>59</v>
      </c>
      <c r="P475" s="3" t="s">
        <v>59</v>
      </c>
      <c r="Q475" s="3" t="s">
        <v>59</v>
      </c>
      <c r="R475" s="3" t="s">
        <v>59</v>
      </c>
      <c r="S475" s="3" t="s">
        <v>59</v>
      </c>
      <c r="T475" s="3" t="s">
        <v>59</v>
      </c>
      <c r="U475" s="3" t="s">
        <v>59</v>
      </c>
      <c r="V475" s="3" t="s">
        <v>59</v>
      </c>
      <c r="W475" s="3" t="s">
        <v>59</v>
      </c>
      <c r="X475" s="3" t="s">
        <v>59</v>
      </c>
      <c r="Y475" s="3" t="s">
        <v>59</v>
      </c>
    </row>
    <row r="476" spans="1:25" hidden="1" x14ac:dyDescent="0.3">
      <c r="A476">
        <v>474</v>
      </c>
      <c r="B476" t="s">
        <v>904</v>
      </c>
      <c r="C476" t="s">
        <v>47</v>
      </c>
      <c r="D476" t="s">
        <v>571</v>
      </c>
      <c r="E476" t="s">
        <v>28</v>
      </c>
      <c r="F476" t="s">
        <v>29</v>
      </c>
      <c r="G476" t="s">
        <v>30</v>
      </c>
      <c r="H476" t="s">
        <v>153</v>
      </c>
      <c r="J476" t="s">
        <v>905</v>
      </c>
      <c r="K476" t="s">
        <v>186</v>
      </c>
      <c r="L476" t="s">
        <v>579</v>
      </c>
      <c r="M476" t="s">
        <v>580</v>
      </c>
      <c r="N476" s="3" t="s">
        <v>59</v>
      </c>
      <c r="O476" s="3" t="s">
        <v>59</v>
      </c>
      <c r="P476" s="3">
        <v>100</v>
      </c>
      <c r="Q476" s="3" t="s">
        <v>59</v>
      </c>
      <c r="R476" s="3" t="s">
        <v>59</v>
      </c>
      <c r="S476" s="3" t="s">
        <v>59</v>
      </c>
      <c r="T476" s="3" t="s">
        <v>59</v>
      </c>
      <c r="U476" s="3" t="s">
        <v>59</v>
      </c>
      <c r="V476" s="3" t="s">
        <v>59</v>
      </c>
      <c r="W476" s="3" t="s">
        <v>59</v>
      </c>
      <c r="X476" s="3" t="s">
        <v>59</v>
      </c>
      <c r="Y476" s="3" t="s">
        <v>59</v>
      </c>
    </row>
    <row r="477" spans="1:25" hidden="1" x14ac:dyDescent="0.3">
      <c r="A477">
        <v>474</v>
      </c>
      <c r="B477" t="s">
        <v>904</v>
      </c>
      <c r="C477" t="s">
        <v>47</v>
      </c>
      <c r="D477" t="s">
        <v>571</v>
      </c>
      <c r="E477" t="s">
        <v>28</v>
      </c>
      <c r="F477" t="s">
        <v>29</v>
      </c>
      <c r="G477" t="s">
        <v>30</v>
      </c>
      <c r="H477" t="s">
        <v>153</v>
      </c>
      <c r="J477" t="s">
        <v>905</v>
      </c>
      <c r="K477" t="s">
        <v>186</v>
      </c>
      <c r="L477" t="s">
        <v>581</v>
      </c>
      <c r="M477" t="s">
        <v>582</v>
      </c>
      <c r="N477" s="3" t="s">
        <v>59</v>
      </c>
      <c r="O477" s="3" t="s">
        <v>59</v>
      </c>
      <c r="P477" s="3" t="s">
        <v>59</v>
      </c>
      <c r="Q477" s="3" t="s">
        <v>59</v>
      </c>
      <c r="R477" s="3" t="s">
        <v>59</v>
      </c>
      <c r="S477" s="3" t="s">
        <v>59</v>
      </c>
      <c r="T477" s="3" t="s">
        <v>59</v>
      </c>
      <c r="U477" s="3" t="s">
        <v>59</v>
      </c>
      <c r="V477" s="3" t="s">
        <v>59</v>
      </c>
      <c r="W477" s="3" t="s">
        <v>59</v>
      </c>
      <c r="X477" s="3" t="s">
        <v>59</v>
      </c>
      <c r="Y477" s="3" t="s">
        <v>59</v>
      </c>
    </row>
    <row r="478" spans="1:25" hidden="1" x14ac:dyDescent="0.3">
      <c r="A478">
        <v>474</v>
      </c>
      <c r="B478" t="s">
        <v>904</v>
      </c>
      <c r="C478" t="s">
        <v>47</v>
      </c>
      <c r="D478" t="s">
        <v>571</v>
      </c>
      <c r="E478" t="s">
        <v>28</v>
      </c>
      <c r="F478" t="s">
        <v>29</v>
      </c>
      <c r="G478" t="s">
        <v>30</v>
      </c>
      <c r="H478" t="s">
        <v>153</v>
      </c>
      <c r="J478" t="s">
        <v>905</v>
      </c>
      <c r="K478" t="s">
        <v>186</v>
      </c>
      <c r="L478" t="s">
        <v>583</v>
      </c>
      <c r="M478" t="s">
        <v>584</v>
      </c>
      <c r="N478" s="3" t="s">
        <v>59</v>
      </c>
      <c r="O478" s="3" t="s">
        <v>59</v>
      </c>
      <c r="P478" s="3">
        <v>100</v>
      </c>
      <c r="Q478" s="3" t="s">
        <v>59</v>
      </c>
      <c r="R478" s="3" t="s">
        <v>59</v>
      </c>
      <c r="S478" s="3" t="s">
        <v>59</v>
      </c>
      <c r="T478" s="3" t="s">
        <v>59</v>
      </c>
      <c r="U478" s="3" t="s">
        <v>59</v>
      </c>
      <c r="V478" s="3" t="s">
        <v>59</v>
      </c>
      <c r="W478" s="3" t="s">
        <v>59</v>
      </c>
      <c r="X478" s="3" t="s">
        <v>59</v>
      </c>
      <c r="Y478" s="3" t="s">
        <v>59</v>
      </c>
    </row>
    <row r="479" spans="1:25" hidden="1" x14ac:dyDescent="0.3">
      <c r="A479">
        <v>474</v>
      </c>
      <c r="B479" t="s">
        <v>904</v>
      </c>
      <c r="C479" t="s">
        <v>47</v>
      </c>
      <c r="D479" t="s">
        <v>571</v>
      </c>
      <c r="E479" t="s">
        <v>28</v>
      </c>
      <c r="F479" t="s">
        <v>29</v>
      </c>
      <c r="G479" t="s">
        <v>30</v>
      </c>
      <c r="H479" t="s">
        <v>153</v>
      </c>
      <c r="J479" t="s">
        <v>905</v>
      </c>
      <c r="K479" t="s">
        <v>186</v>
      </c>
      <c r="L479" t="s">
        <v>585</v>
      </c>
      <c r="M479" t="s">
        <v>586</v>
      </c>
      <c r="N479" s="3" t="s">
        <v>59</v>
      </c>
      <c r="O479" s="3" t="s">
        <v>59</v>
      </c>
      <c r="P479" s="3" t="s">
        <v>59</v>
      </c>
      <c r="Q479" s="3" t="s">
        <v>59</v>
      </c>
      <c r="R479" s="3" t="s">
        <v>59</v>
      </c>
      <c r="S479" s="3" t="s">
        <v>59</v>
      </c>
      <c r="T479" s="3" t="s">
        <v>59</v>
      </c>
      <c r="U479" s="3" t="s">
        <v>59</v>
      </c>
      <c r="V479" s="3" t="s">
        <v>59</v>
      </c>
      <c r="W479" s="3" t="s">
        <v>59</v>
      </c>
      <c r="X479" s="3" t="s">
        <v>59</v>
      </c>
      <c r="Y479" s="3" t="s">
        <v>59</v>
      </c>
    </row>
    <row r="480" spans="1:25" hidden="1" x14ac:dyDescent="0.3">
      <c r="A480">
        <v>474</v>
      </c>
      <c r="B480" t="s">
        <v>904</v>
      </c>
      <c r="C480" t="s">
        <v>47</v>
      </c>
      <c r="D480" t="s">
        <v>571</v>
      </c>
      <c r="E480" t="s">
        <v>28</v>
      </c>
      <c r="F480" t="s">
        <v>29</v>
      </c>
      <c r="G480" t="s">
        <v>30</v>
      </c>
      <c r="H480" t="s">
        <v>153</v>
      </c>
      <c r="J480" t="s">
        <v>905</v>
      </c>
      <c r="K480" t="s">
        <v>186</v>
      </c>
      <c r="L480" t="s">
        <v>587</v>
      </c>
      <c r="M480" t="s">
        <v>588</v>
      </c>
      <c r="N480" s="3" t="s">
        <v>59</v>
      </c>
      <c r="O480" s="3" t="s">
        <v>59</v>
      </c>
      <c r="P480" s="3">
        <v>100</v>
      </c>
      <c r="Q480" s="3" t="s">
        <v>59</v>
      </c>
      <c r="R480" s="3" t="s">
        <v>59</v>
      </c>
      <c r="S480" s="3" t="s">
        <v>59</v>
      </c>
      <c r="T480" s="3" t="s">
        <v>59</v>
      </c>
      <c r="U480" s="3" t="s">
        <v>59</v>
      </c>
      <c r="V480" s="3" t="s">
        <v>59</v>
      </c>
      <c r="W480" s="3" t="s">
        <v>59</v>
      </c>
      <c r="X480" s="3" t="s">
        <v>59</v>
      </c>
      <c r="Y480" s="3" t="s">
        <v>59</v>
      </c>
    </row>
    <row r="481" spans="1:25" hidden="1" x14ac:dyDescent="0.3">
      <c r="A481">
        <v>474</v>
      </c>
      <c r="B481" t="s">
        <v>904</v>
      </c>
      <c r="C481" t="s">
        <v>47</v>
      </c>
      <c r="D481" t="s">
        <v>571</v>
      </c>
      <c r="E481" t="s">
        <v>28</v>
      </c>
      <c r="F481" t="s">
        <v>29</v>
      </c>
      <c r="G481" t="s">
        <v>30</v>
      </c>
      <c r="H481" t="s">
        <v>153</v>
      </c>
      <c r="J481" t="s">
        <v>905</v>
      </c>
      <c r="K481" t="s">
        <v>186</v>
      </c>
      <c r="L481" t="s">
        <v>589</v>
      </c>
      <c r="M481" t="s">
        <v>590</v>
      </c>
      <c r="N481" s="3" t="s">
        <v>59</v>
      </c>
      <c r="O481" s="3" t="s">
        <v>59</v>
      </c>
      <c r="P481" s="3" t="s">
        <v>59</v>
      </c>
      <c r="Q481" s="3" t="s">
        <v>59</v>
      </c>
      <c r="R481" s="3" t="s">
        <v>59</v>
      </c>
      <c r="S481" s="3" t="s">
        <v>59</v>
      </c>
      <c r="T481" s="3" t="s">
        <v>59</v>
      </c>
      <c r="U481" s="3" t="s">
        <v>59</v>
      </c>
      <c r="V481" s="3" t="s">
        <v>59</v>
      </c>
      <c r="W481" s="3" t="s">
        <v>59</v>
      </c>
      <c r="X481" s="3" t="s">
        <v>59</v>
      </c>
      <c r="Y481" s="3" t="s">
        <v>59</v>
      </c>
    </row>
    <row r="482" spans="1:25" hidden="1" x14ac:dyDescent="0.3">
      <c r="A482">
        <v>474</v>
      </c>
      <c r="B482" t="s">
        <v>904</v>
      </c>
      <c r="C482" t="s">
        <v>47</v>
      </c>
      <c r="D482" t="s">
        <v>571</v>
      </c>
      <c r="E482" t="s">
        <v>28</v>
      </c>
      <c r="F482" t="s">
        <v>29</v>
      </c>
      <c r="G482" t="s">
        <v>30</v>
      </c>
      <c r="H482" t="s">
        <v>153</v>
      </c>
      <c r="J482" t="s">
        <v>905</v>
      </c>
      <c r="K482" t="s">
        <v>186</v>
      </c>
      <c r="L482" t="s">
        <v>591</v>
      </c>
      <c r="M482" t="s">
        <v>592</v>
      </c>
      <c r="N482" s="3" t="s">
        <v>59</v>
      </c>
      <c r="O482" s="3" t="s">
        <v>59</v>
      </c>
      <c r="P482" s="3">
        <v>100</v>
      </c>
      <c r="Q482" s="3" t="s">
        <v>59</v>
      </c>
      <c r="R482" s="3" t="s">
        <v>59</v>
      </c>
      <c r="S482" s="3" t="s">
        <v>59</v>
      </c>
      <c r="T482" s="3" t="s">
        <v>59</v>
      </c>
      <c r="U482" s="3" t="s">
        <v>59</v>
      </c>
      <c r="V482" s="3" t="s">
        <v>59</v>
      </c>
      <c r="W482" s="3" t="s">
        <v>59</v>
      </c>
      <c r="X482" s="3" t="s">
        <v>59</v>
      </c>
      <c r="Y482" s="3" t="s">
        <v>59</v>
      </c>
    </row>
    <row r="483" spans="1:25" hidden="1" x14ac:dyDescent="0.3">
      <c r="A483">
        <v>474</v>
      </c>
      <c r="B483" t="s">
        <v>904</v>
      </c>
      <c r="C483" t="s">
        <v>47</v>
      </c>
      <c r="D483" t="s">
        <v>571</v>
      </c>
      <c r="E483" t="s">
        <v>28</v>
      </c>
      <c r="F483" t="s">
        <v>29</v>
      </c>
      <c r="G483" t="s">
        <v>30</v>
      </c>
      <c r="H483" t="s">
        <v>153</v>
      </c>
      <c r="J483" t="s">
        <v>905</v>
      </c>
      <c r="K483" t="s">
        <v>186</v>
      </c>
      <c r="L483" t="s">
        <v>593</v>
      </c>
      <c r="M483" t="s">
        <v>594</v>
      </c>
      <c r="N483" s="3" t="s">
        <v>59</v>
      </c>
      <c r="O483" s="3" t="s">
        <v>59</v>
      </c>
      <c r="P483" s="3" t="s">
        <v>59</v>
      </c>
      <c r="Q483" s="3" t="s">
        <v>59</v>
      </c>
      <c r="R483" s="3" t="s">
        <v>59</v>
      </c>
      <c r="S483" s="3" t="s">
        <v>59</v>
      </c>
      <c r="T483" s="3" t="s">
        <v>59</v>
      </c>
      <c r="U483" s="3" t="s">
        <v>59</v>
      </c>
      <c r="V483" s="3" t="s">
        <v>59</v>
      </c>
      <c r="W483" s="3" t="s">
        <v>59</v>
      </c>
      <c r="X483" s="3" t="s">
        <v>59</v>
      </c>
      <c r="Y483" s="3" t="s">
        <v>59</v>
      </c>
    </row>
    <row r="484" spans="1:25" hidden="1" x14ac:dyDescent="0.3">
      <c r="A484">
        <v>474</v>
      </c>
      <c r="B484" t="s">
        <v>904</v>
      </c>
      <c r="C484" t="s">
        <v>47</v>
      </c>
      <c r="D484" t="s">
        <v>571</v>
      </c>
      <c r="E484" t="s">
        <v>28</v>
      </c>
      <c r="F484" t="s">
        <v>29</v>
      </c>
      <c r="G484" t="s">
        <v>30</v>
      </c>
      <c r="H484" t="s">
        <v>153</v>
      </c>
      <c r="J484" t="s">
        <v>905</v>
      </c>
      <c r="K484" t="s">
        <v>186</v>
      </c>
      <c r="L484" t="s">
        <v>595</v>
      </c>
      <c r="M484" t="s">
        <v>596</v>
      </c>
      <c r="N484" s="3" t="s">
        <v>59</v>
      </c>
      <c r="O484" s="3" t="s">
        <v>59</v>
      </c>
      <c r="P484" s="3">
        <v>100</v>
      </c>
      <c r="Q484" s="3">
        <v>100</v>
      </c>
      <c r="R484" s="3" t="s">
        <v>59</v>
      </c>
      <c r="S484" s="3" t="s">
        <v>59</v>
      </c>
      <c r="T484" s="3" t="s">
        <v>59</v>
      </c>
      <c r="U484" s="3" t="s">
        <v>59</v>
      </c>
      <c r="V484" s="3" t="s">
        <v>59</v>
      </c>
      <c r="W484" s="3" t="s">
        <v>59</v>
      </c>
      <c r="X484" s="3" t="s">
        <v>59</v>
      </c>
      <c r="Y484" s="3" t="s">
        <v>59</v>
      </c>
    </row>
    <row r="485" spans="1:25" hidden="1" x14ac:dyDescent="0.3">
      <c r="A485" s="1">
        <v>475</v>
      </c>
      <c r="B485" s="1" t="s">
        <v>906</v>
      </c>
      <c r="C485" s="1" t="s">
        <v>47</v>
      </c>
      <c r="D485" s="1" t="s">
        <v>465</v>
      </c>
      <c r="E485" s="1" t="s">
        <v>28</v>
      </c>
      <c r="F485" s="1" t="s">
        <v>29</v>
      </c>
      <c r="G485" s="1" t="s">
        <v>30</v>
      </c>
      <c r="H485" s="1" t="s">
        <v>31</v>
      </c>
      <c r="I485" s="1">
        <v>100</v>
      </c>
      <c r="J485" s="1" t="s">
        <v>907</v>
      </c>
      <c r="K485" s="1" t="s">
        <v>33</v>
      </c>
      <c r="L485" s="1" t="s">
        <v>33</v>
      </c>
      <c r="M485" s="1" t="s">
        <v>34</v>
      </c>
      <c r="N485" s="4">
        <v>100</v>
      </c>
      <c r="O485" s="3" t="s">
        <v>59</v>
      </c>
      <c r="P485" s="5">
        <v>140</v>
      </c>
      <c r="Q485" s="3" t="s">
        <v>59</v>
      </c>
      <c r="R485" s="3"/>
      <c r="S485" s="3"/>
      <c r="T485" s="3"/>
      <c r="U485" s="3"/>
      <c r="V485" s="3"/>
      <c r="W485" s="3"/>
      <c r="X485" s="3"/>
      <c r="Y485" s="3"/>
    </row>
    <row r="486" spans="1:25" hidden="1" x14ac:dyDescent="0.3">
      <c r="A486" s="1">
        <v>476</v>
      </c>
      <c r="B486" s="1" t="s">
        <v>908</v>
      </c>
      <c r="C486" s="1" t="s">
        <v>47</v>
      </c>
      <c r="D486" s="1" t="s">
        <v>896</v>
      </c>
      <c r="E486" s="1" t="s">
        <v>28</v>
      </c>
      <c r="F486" s="1" t="s">
        <v>29</v>
      </c>
      <c r="G486" s="1" t="s">
        <v>30</v>
      </c>
      <c r="H486" s="1" t="s">
        <v>153</v>
      </c>
      <c r="I486" s="1">
        <v>100</v>
      </c>
      <c r="J486" s="1" t="s">
        <v>909</v>
      </c>
      <c r="K486" s="1" t="s">
        <v>186</v>
      </c>
      <c r="L486" s="1" t="s">
        <v>34</v>
      </c>
      <c r="M486" s="1" t="s">
        <v>34</v>
      </c>
      <c r="N486" s="4">
        <v>100</v>
      </c>
      <c r="O486" s="4">
        <v>100</v>
      </c>
      <c r="P486" s="4">
        <v>100</v>
      </c>
      <c r="Q486" s="4">
        <v>100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</row>
    <row r="487" spans="1:25" hidden="1" x14ac:dyDescent="0.3">
      <c r="A487">
        <v>476</v>
      </c>
      <c r="B487" t="s">
        <v>908</v>
      </c>
      <c r="C487" t="s">
        <v>47</v>
      </c>
      <c r="D487" t="s">
        <v>896</v>
      </c>
      <c r="E487" t="s">
        <v>28</v>
      </c>
      <c r="F487" t="s">
        <v>29</v>
      </c>
      <c r="G487" t="s">
        <v>30</v>
      </c>
      <c r="H487" t="s">
        <v>153</v>
      </c>
      <c r="I487">
        <v>100</v>
      </c>
      <c r="J487" t="s">
        <v>909</v>
      </c>
      <c r="K487" t="s">
        <v>186</v>
      </c>
      <c r="L487" t="s">
        <v>898</v>
      </c>
      <c r="M487" t="s">
        <v>899</v>
      </c>
      <c r="N487" s="3" t="s">
        <v>59</v>
      </c>
      <c r="O487" s="3">
        <v>100</v>
      </c>
      <c r="P487" s="3">
        <v>100</v>
      </c>
      <c r="Q487" s="3" t="s">
        <v>59</v>
      </c>
      <c r="R487" s="3" t="s">
        <v>59</v>
      </c>
      <c r="S487" s="3" t="s">
        <v>59</v>
      </c>
      <c r="T487" s="3" t="s">
        <v>59</v>
      </c>
      <c r="U487" s="3" t="s">
        <v>59</v>
      </c>
      <c r="V487" s="3" t="s">
        <v>59</v>
      </c>
      <c r="W487" s="3" t="s">
        <v>59</v>
      </c>
      <c r="X487" s="3" t="s">
        <v>59</v>
      </c>
      <c r="Y487" s="3" t="s">
        <v>59</v>
      </c>
    </row>
    <row r="488" spans="1:25" hidden="1" x14ac:dyDescent="0.3">
      <c r="A488">
        <v>476</v>
      </c>
      <c r="B488" t="s">
        <v>908</v>
      </c>
      <c r="C488" t="s">
        <v>47</v>
      </c>
      <c r="D488" t="s">
        <v>896</v>
      </c>
      <c r="E488" t="s">
        <v>28</v>
      </c>
      <c r="F488" t="s">
        <v>29</v>
      </c>
      <c r="G488" t="s">
        <v>30</v>
      </c>
      <c r="H488" t="s">
        <v>153</v>
      </c>
      <c r="I488">
        <v>100</v>
      </c>
      <c r="J488" t="s">
        <v>909</v>
      </c>
      <c r="K488" t="s">
        <v>186</v>
      </c>
      <c r="L488" t="s">
        <v>900</v>
      </c>
      <c r="M488" t="s">
        <v>901</v>
      </c>
      <c r="N488" s="3" t="s">
        <v>59</v>
      </c>
      <c r="O488" s="3">
        <v>100</v>
      </c>
      <c r="P488" s="3">
        <v>100</v>
      </c>
      <c r="Q488" s="3">
        <v>100</v>
      </c>
      <c r="R488" s="3" t="s">
        <v>59</v>
      </c>
      <c r="S488" s="3" t="s">
        <v>59</v>
      </c>
      <c r="T488" s="3" t="s">
        <v>59</v>
      </c>
      <c r="U488" s="3" t="s">
        <v>59</v>
      </c>
      <c r="V488" s="3" t="s">
        <v>59</v>
      </c>
      <c r="W488" s="3" t="s">
        <v>59</v>
      </c>
      <c r="X488" s="3" t="s">
        <v>59</v>
      </c>
      <c r="Y488" s="3" t="s">
        <v>59</v>
      </c>
    </row>
    <row r="489" spans="1:25" hidden="1" x14ac:dyDescent="0.3">
      <c r="A489">
        <v>476</v>
      </c>
      <c r="B489" t="s">
        <v>908</v>
      </c>
      <c r="C489" t="s">
        <v>47</v>
      </c>
      <c r="D489" t="s">
        <v>896</v>
      </c>
      <c r="E489" t="s">
        <v>28</v>
      </c>
      <c r="F489" t="s">
        <v>29</v>
      </c>
      <c r="G489" t="s">
        <v>30</v>
      </c>
      <c r="H489" t="s">
        <v>153</v>
      </c>
      <c r="I489">
        <v>100</v>
      </c>
      <c r="J489" t="s">
        <v>909</v>
      </c>
      <c r="K489" t="s">
        <v>186</v>
      </c>
      <c r="L489" t="s">
        <v>902</v>
      </c>
      <c r="M489" t="s">
        <v>903</v>
      </c>
      <c r="N489" s="3">
        <v>100</v>
      </c>
      <c r="O489" s="3" t="s">
        <v>59</v>
      </c>
      <c r="P489" s="3">
        <v>100</v>
      </c>
      <c r="Q489" s="3" t="s">
        <v>59</v>
      </c>
      <c r="R489" s="3" t="s">
        <v>59</v>
      </c>
      <c r="S489" s="3" t="s">
        <v>59</v>
      </c>
      <c r="T489" s="3" t="s">
        <v>59</v>
      </c>
      <c r="U489" s="3" t="s">
        <v>59</v>
      </c>
      <c r="V489" s="3" t="s">
        <v>59</v>
      </c>
      <c r="W489" s="3" t="s">
        <v>59</v>
      </c>
      <c r="X489" s="3" t="s">
        <v>59</v>
      </c>
      <c r="Y489" s="3" t="s">
        <v>59</v>
      </c>
    </row>
    <row r="490" spans="1:25" hidden="1" x14ac:dyDescent="0.3">
      <c r="A490" s="1">
        <v>477</v>
      </c>
      <c r="B490" s="1" t="s">
        <v>910</v>
      </c>
      <c r="C490" s="1" t="s">
        <v>47</v>
      </c>
      <c r="D490" s="1" t="s">
        <v>571</v>
      </c>
      <c r="E490" s="1" t="s">
        <v>28</v>
      </c>
      <c r="F490" s="1" t="s">
        <v>29</v>
      </c>
      <c r="G490" s="1" t="s">
        <v>30</v>
      </c>
      <c r="H490" s="1" t="s">
        <v>153</v>
      </c>
      <c r="I490" s="1"/>
      <c r="J490" s="1" t="s">
        <v>911</v>
      </c>
      <c r="K490" s="1" t="s">
        <v>155</v>
      </c>
      <c r="L490" s="1" t="s">
        <v>34</v>
      </c>
      <c r="M490" s="1" t="s">
        <v>34</v>
      </c>
      <c r="N490" s="3"/>
      <c r="O490" s="3"/>
      <c r="P490" s="4">
        <v>100</v>
      </c>
      <c r="Q490" s="4">
        <v>100</v>
      </c>
      <c r="R490" s="3" t="s">
        <v>59</v>
      </c>
      <c r="S490" s="3" t="s">
        <v>59</v>
      </c>
      <c r="T490" s="3" t="s">
        <v>59</v>
      </c>
      <c r="U490" s="3" t="s">
        <v>59</v>
      </c>
      <c r="V490" s="3" t="s">
        <v>59</v>
      </c>
      <c r="W490" s="3" t="s">
        <v>59</v>
      </c>
      <c r="X490" s="3" t="s">
        <v>59</v>
      </c>
      <c r="Y490" s="3" t="s">
        <v>59</v>
      </c>
    </row>
    <row r="491" spans="1:25" hidden="1" x14ac:dyDescent="0.3">
      <c r="A491">
        <v>477</v>
      </c>
      <c r="B491" t="s">
        <v>910</v>
      </c>
      <c r="C491" t="s">
        <v>47</v>
      </c>
      <c r="D491" t="s">
        <v>571</v>
      </c>
      <c r="E491" t="s">
        <v>28</v>
      </c>
      <c r="F491" t="s">
        <v>29</v>
      </c>
      <c r="G491" t="s">
        <v>30</v>
      </c>
      <c r="H491" t="s">
        <v>153</v>
      </c>
      <c r="J491" t="s">
        <v>911</v>
      </c>
      <c r="K491" t="s">
        <v>155</v>
      </c>
      <c r="L491" t="s">
        <v>573</v>
      </c>
      <c r="M491" t="s">
        <v>574</v>
      </c>
      <c r="N491" s="3" t="s">
        <v>59</v>
      </c>
      <c r="O491" s="3" t="s">
        <v>59</v>
      </c>
      <c r="P491" s="3" t="s">
        <v>59</v>
      </c>
      <c r="Q491" s="3" t="s">
        <v>59</v>
      </c>
      <c r="R491" s="3" t="s">
        <v>59</v>
      </c>
      <c r="S491" s="3" t="s">
        <v>59</v>
      </c>
      <c r="T491" s="3" t="s">
        <v>59</v>
      </c>
      <c r="U491" s="3" t="s">
        <v>59</v>
      </c>
      <c r="V491" s="3" t="s">
        <v>59</v>
      </c>
      <c r="W491" s="3" t="s">
        <v>59</v>
      </c>
      <c r="X491" s="3" t="s">
        <v>59</v>
      </c>
      <c r="Y491" s="3" t="s">
        <v>59</v>
      </c>
    </row>
    <row r="492" spans="1:25" hidden="1" x14ac:dyDescent="0.3">
      <c r="A492">
        <v>477</v>
      </c>
      <c r="B492" t="s">
        <v>910</v>
      </c>
      <c r="C492" t="s">
        <v>47</v>
      </c>
      <c r="D492" t="s">
        <v>571</v>
      </c>
      <c r="E492" t="s">
        <v>28</v>
      </c>
      <c r="F492" t="s">
        <v>29</v>
      </c>
      <c r="G492" t="s">
        <v>30</v>
      </c>
      <c r="H492" t="s">
        <v>153</v>
      </c>
      <c r="J492" t="s">
        <v>911</v>
      </c>
      <c r="K492" t="s">
        <v>155</v>
      </c>
      <c r="L492" t="s">
        <v>575</v>
      </c>
      <c r="M492" t="s">
        <v>576</v>
      </c>
      <c r="N492" s="3" t="s">
        <v>59</v>
      </c>
      <c r="O492" s="3" t="s">
        <v>59</v>
      </c>
      <c r="P492" s="3" t="s">
        <v>59</v>
      </c>
      <c r="Q492" s="3">
        <v>100</v>
      </c>
      <c r="R492" s="3" t="s">
        <v>59</v>
      </c>
      <c r="S492" s="3" t="s">
        <v>59</v>
      </c>
      <c r="T492" s="3" t="s">
        <v>59</v>
      </c>
      <c r="U492" s="3" t="s">
        <v>59</v>
      </c>
      <c r="V492" s="3" t="s">
        <v>59</v>
      </c>
      <c r="W492" s="3" t="s">
        <v>59</v>
      </c>
      <c r="X492" s="3" t="s">
        <v>59</v>
      </c>
      <c r="Y492" s="3" t="s">
        <v>59</v>
      </c>
    </row>
    <row r="493" spans="1:25" hidden="1" x14ac:dyDescent="0.3">
      <c r="A493">
        <v>477</v>
      </c>
      <c r="B493" t="s">
        <v>910</v>
      </c>
      <c r="C493" t="s">
        <v>47</v>
      </c>
      <c r="D493" t="s">
        <v>571</v>
      </c>
      <c r="E493" t="s">
        <v>28</v>
      </c>
      <c r="F493" t="s">
        <v>29</v>
      </c>
      <c r="G493" t="s">
        <v>30</v>
      </c>
      <c r="H493" t="s">
        <v>153</v>
      </c>
      <c r="J493" t="s">
        <v>911</v>
      </c>
      <c r="K493" t="s">
        <v>155</v>
      </c>
      <c r="L493" t="s">
        <v>577</v>
      </c>
      <c r="M493" t="s">
        <v>578</v>
      </c>
      <c r="N493" s="3" t="s">
        <v>59</v>
      </c>
      <c r="O493" s="3" t="s">
        <v>59</v>
      </c>
      <c r="P493" s="3" t="s">
        <v>59</v>
      </c>
      <c r="Q493" s="3">
        <v>100</v>
      </c>
      <c r="R493" s="3" t="s">
        <v>59</v>
      </c>
      <c r="S493" s="3" t="s">
        <v>59</v>
      </c>
      <c r="T493" s="3" t="s">
        <v>59</v>
      </c>
      <c r="U493" s="3" t="s">
        <v>59</v>
      </c>
      <c r="V493" s="3" t="s">
        <v>59</v>
      </c>
      <c r="W493" s="3" t="s">
        <v>59</v>
      </c>
      <c r="X493" s="3" t="s">
        <v>59</v>
      </c>
      <c r="Y493" s="3" t="s">
        <v>59</v>
      </c>
    </row>
    <row r="494" spans="1:25" hidden="1" x14ac:dyDescent="0.3">
      <c r="A494">
        <v>477</v>
      </c>
      <c r="B494" t="s">
        <v>910</v>
      </c>
      <c r="C494" t="s">
        <v>47</v>
      </c>
      <c r="D494" t="s">
        <v>571</v>
      </c>
      <c r="E494" t="s">
        <v>28</v>
      </c>
      <c r="F494" t="s">
        <v>29</v>
      </c>
      <c r="G494" t="s">
        <v>30</v>
      </c>
      <c r="H494" t="s">
        <v>153</v>
      </c>
      <c r="J494" t="s">
        <v>911</v>
      </c>
      <c r="K494" t="s">
        <v>155</v>
      </c>
      <c r="L494" t="s">
        <v>579</v>
      </c>
      <c r="M494" t="s">
        <v>580</v>
      </c>
      <c r="N494" s="3" t="s">
        <v>59</v>
      </c>
      <c r="O494" s="3" t="s">
        <v>59</v>
      </c>
      <c r="P494" s="3" t="s">
        <v>59</v>
      </c>
      <c r="Q494" s="3">
        <v>100</v>
      </c>
      <c r="R494" s="3" t="s">
        <v>59</v>
      </c>
      <c r="S494" s="3" t="s">
        <v>59</v>
      </c>
      <c r="T494" s="3" t="s">
        <v>59</v>
      </c>
      <c r="U494" s="3" t="s">
        <v>59</v>
      </c>
      <c r="V494" s="3" t="s">
        <v>59</v>
      </c>
      <c r="W494" s="3" t="s">
        <v>59</v>
      </c>
      <c r="X494" s="3" t="s">
        <v>59</v>
      </c>
      <c r="Y494" s="3" t="s">
        <v>59</v>
      </c>
    </row>
    <row r="495" spans="1:25" hidden="1" x14ac:dyDescent="0.3">
      <c r="A495">
        <v>477</v>
      </c>
      <c r="B495" t="s">
        <v>910</v>
      </c>
      <c r="C495" t="s">
        <v>47</v>
      </c>
      <c r="D495" t="s">
        <v>571</v>
      </c>
      <c r="E495" t="s">
        <v>28</v>
      </c>
      <c r="F495" t="s">
        <v>29</v>
      </c>
      <c r="G495" t="s">
        <v>30</v>
      </c>
      <c r="H495" t="s">
        <v>153</v>
      </c>
      <c r="J495" t="s">
        <v>911</v>
      </c>
      <c r="K495" t="s">
        <v>155</v>
      </c>
      <c r="L495" t="s">
        <v>581</v>
      </c>
      <c r="M495" t="s">
        <v>582</v>
      </c>
      <c r="N495" s="3" t="s">
        <v>59</v>
      </c>
      <c r="O495" s="3" t="s">
        <v>59</v>
      </c>
      <c r="P495" s="3" t="s">
        <v>59</v>
      </c>
      <c r="Q495" s="3" t="s">
        <v>59</v>
      </c>
      <c r="R495" s="3" t="s">
        <v>59</v>
      </c>
      <c r="S495" s="3" t="s">
        <v>59</v>
      </c>
      <c r="T495" s="3" t="s">
        <v>59</v>
      </c>
      <c r="U495" s="3" t="s">
        <v>59</v>
      </c>
      <c r="V495" s="3" t="s">
        <v>59</v>
      </c>
      <c r="W495" s="3" t="s">
        <v>59</v>
      </c>
      <c r="X495" s="3" t="s">
        <v>59</v>
      </c>
      <c r="Y495" s="3" t="s">
        <v>59</v>
      </c>
    </row>
    <row r="496" spans="1:25" hidden="1" x14ac:dyDescent="0.3">
      <c r="A496">
        <v>477</v>
      </c>
      <c r="B496" t="s">
        <v>910</v>
      </c>
      <c r="C496" t="s">
        <v>47</v>
      </c>
      <c r="D496" t="s">
        <v>571</v>
      </c>
      <c r="E496" t="s">
        <v>28</v>
      </c>
      <c r="F496" t="s">
        <v>29</v>
      </c>
      <c r="G496" t="s">
        <v>30</v>
      </c>
      <c r="H496" t="s">
        <v>153</v>
      </c>
      <c r="J496" t="s">
        <v>911</v>
      </c>
      <c r="K496" t="s">
        <v>155</v>
      </c>
      <c r="L496" t="s">
        <v>583</v>
      </c>
      <c r="M496" t="s">
        <v>584</v>
      </c>
      <c r="N496" s="3" t="s">
        <v>59</v>
      </c>
      <c r="O496" s="3" t="s">
        <v>59</v>
      </c>
      <c r="P496" s="3" t="s">
        <v>59</v>
      </c>
      <c r="Q496" s="3">
        <v>100</v>
      </c>
      <c r="R496" s="3" t="s">
        <v>59</v>
      </c>
      <c r="S496" s="3" t="s">
        <v>59</v>
      </c>
      <c r="T496" s="3" t="s">
        <v>59</v>
      </c>
      <c r="U496" s="3" t="s">
        <v>59</v>
      </c>
      <c r="V496" s="3" t="s">
        <v>59</v>
      </c>
      <c r="W496" s="3" t="s">
        <v>59</v>
      </c>
      <c r="X496" s="3" t="s">
        <v>59</v>
      </c>
      <c r="Y496" s="3" t="s">
        <v>59</v>
      </c>
    </row>
    <row r="497" spans="1:25" hidden="1" x14ac:dyDescent="0.3">
      <c r="A497">
        <v>477</v>
      </c>
      <c r="B497" t="s">
        <v>910</v>
      </c>
      <c r="C497" t="s">
        <v>47</v>
      </c>
      <c r="D497" t="s">
        <v>571</v>
      </c>
      <c r="E497" t="s">
        <v>28</v>
      </c>
      <c r="F497" t="s">
        <v>29</v>
      </c>
      <c r="G497" t="s">
        <v>30</v>
      </c>
      <c r="H497" t="s">
        <v>153</v>
      </c>
      <c r="J497" t="s">
        <v>911</v>
      </c>
      <c r="K497" t="s">
        <v>155</v>
      </c>
      <c r="L497" t="s">
        <v>585</v>
      </c>
      <c r="M497" t="s">
        <v>586</v>
      </c>
      <c r="N497" s="3" t="s">
        <v>59</v>
      </c>
      <c r="O497" s="3" t="s">
        <v>59</v>
      </c>
      <c r="P497" s="3" t="s">
        <v>59</v>
      </c>
      <c r="Q497" s="3">
        <v>100</v>
      </c>
      <c r="R497" s="3" t="s">
        <v>59</v>
      </c>
      <c r="S497" s="3" t="s">
        <v>59</v>
      </c>
      <c r="T497" s="3" t="s">
        <v>59</v>
      </c>
      <c r="U497" s="3" t="s">
        <v>59</v>
      </c>
      <c r="V497" s="3" t="s">
        <v>59</v>
      </c>
      <c r="W497" s="3" t="s">
        <v>59</v>
      </c>
      <c r="X497" s="3" t="s">
        <v>59</v>
      </c>
      <c r="Y497" s="3" t="s">
        <v>59</v>
      </c>
    </row>
    <row r="498" spans="1:25" hidden="1" x14ac:dyDescent="0.3">
      <c r="A498">
        <v>477</v>
      </c>
      <c r="B498" t="s">
        <v>910</v>
      </c>
      <c r="C498" t="s">
        <v>47</v>
      </c>
      <c r="D498" t="s">
        <v>571</v>
      </c>
      <c r="E498" t="s">
        <v>28</v>
      </c>
      <c r="F498" t="s">
        <v>29</v>
      </c>
      <c r="G498" t="s">
        <v>30</v>
      </c>
      <c r="H498" t="s">
        <v>153</v>
      </c>
      <c r="J498" t="s">
        <v>911</v>
      </c>
      <c r="K498" t="s">
        <v>155</v>
      </c>
      <c r="L498" t="s">
        <v>587</v>
      </c>
      <c r="M498" t="s">
        <v>588</v>
      </c>
      <c r="N498" s="3" t="s">
        <v>59</v>
      </c>
      <c r="O498" s="3" t="s">
        <v>59</v>
      </c>
      <c r="P498" s="3" t="s">
        <v>59</v>
      </c>
      <c r="Q498" s="3" t="s">
        <v>59</v>
      </c>
      <c r="R498" s="3" t="s">
        <v>59</v>
      </c>
      <c r="S498" s="3" t="s">
        <v>59</v>
      </c>
      <c r="T498" s="3" t="s">
        <v>59</v>
      </c>
      <c r="U498" s="3" t="s">
        <v>59</v>
      </c>
      <c r="V498" s="3" t="s">
        <v>59</v>
      </c>
      <c r="W498" s="3" t="s">
        <v>59</v>
      </c>
      <c r="X498" s="3" t="s">
        <v>59</v>
      </c>
      <c r="Y498" s="3" t="s">
        <v>59</v>
      </c>
    </row>
    <row r="499" spans="1:25" hidden="1" x14ac:dyDescent="0.3">
      <c r="A499">
        <v>477</v>
      </c>
      <c r="B499" t="s">
        <v>910</v>
      </c>
      <c r="C499" t="s">
        <v>47</v>
      </c>
      <c r="D499" t="s">
        <v>571</v>
      </c>
      <c r="E499" t="s">
        <v>28</v>
      </c>
      <c r="F499" t="s">
        <v>29</v>
      </c>
      <c r="G499" t="s">
        <v>30</v>
      </c>
      <c r="H499" t="s">
        <v>153</v>
      </c>
      <c r="J499" t="s">
        <v>911</v>
      </c>
      <c r="K499" t="s">
        <v>155</v>
      </c>
      <c r="L499" t="s">
        <v>589</v>
      </c>
      <c r="M499" t="s">
        <v>590</v>
      </c>
      <c r="N499" s="3" t="s">
        <v>59</v>
      </c>
      <c r="O499" s="3" t="s">
        <v>59</v>
      </c>
      <c r="P499" s="3" t="s">
        <v>59</v>
      </c>
      <c r="Q499" s="3">
        <v>100</v>
      </c>
      <c r="R499" s="3" t="s">
        <v>59</v>
      </c>
      <c r="S499" s="3" t="s">
        <v>59</v>
      </c>
      <c r="T499" s="3" t="s">
        <v>59</v>
      </c>
      <c r="U499" s="3" t="s">
        <v>59</v>
      </c>
      <c r="V499" s="3" t="s">
        <v>59</v>
      </c>
      <c r="W499" s="3" t="s">
        <v>59</v>
      </c>
      <c r="X499" s="3" t="s">
        <v>59</v>
      </c>
      <c r="Y499" s="3" t="s">
        <v>59</v>
      </c>
    </row>
    <row r="500" spans="1:25" hidden="1" x14ac:dyDescent="0.3">
      <c r="A500">
        <v>477</v>
      </c>
      <c r="B500" t="s">
        <v>910</v>
      </c>
      <c r="C500" t="s">
        <v>47</v>
      </c>
      <c r="D500" t="s">
        <v>571</v>
      </c>
      <c r="E500" t="s">
        <v>28</v>
      </c>
      <c r="F500" t="s">
        <v>29</v>
      </c>
      <c r="G500" t="s">
        <v>30</v>
      </c>
      <c r="H500" t="s">
        <v>153</v>
      </c>
      <c r="J500" t="s">
        <v>911</v>
      </c>
      <c r="K500" t="s">
        <v>155</v>
      </c>
      <c r="L500" t="s">
        <v>591</v>
      </c>
      <c r="M500" t="s">
        <v>592</v>
      </c>
      <c r="N500" s="3" t="s">
        <v>59</v>
      </c>
      <c r="O500" s="3" t="s">
        <v>59</v>
      </c>
      <c r="P500" s="3" t="s">
        <v>59</v>
      </c>
      <c r="Q500" s="3">
        <v>100</v>
      </c>
      <c r="R500" s="3" t="s">
        <v>59</v>
      </c>
      <c r="S500" s="3" t="s">
        <v>59</v>
      </c>
      <c r="T500" s="3" t="s">
        <v>59</v>
      </c>
      <c r="U500" s="3" t="s">
        <v>59</v>
      </c>
      <c r="V500" s="3" t="s">
        <v>59</v>
      </c>
      <c r="W500" s="3" t="s">
        <v>59</v>
      </c>
      <c r="X500" s="3" t="s">
        <v>59</v>
      </c>
      <c r="Y500" s="3" t="s">
        <v>59</v>
      </c>
    </row>
    <row r="501" spans="1:25" hidden="1" x14ac:dyDescent="0.3">
      <c r="A501">
        <v>477</v>
      </c>
      <c r="B501" t="s">
        <v>910</v>
      </c>
      <c r="C501" t="s">
        <v>47</v>
      </c>
      <c r="D501" t="s">
        <v>571</v>
      </c>
      <c r="E501" t="s">
        <v>28</v>
      </c>
      <c r="F501" t="s">
        <v>29</v>
      </c>
      <c r="G501" t="s">
        <v>30</v>
      </c>
      <c r="H501" t="s">
        <v>153</v>
      </c>
      <c r="J501" t="s">
        <v>911</v>
      </c>
      <c r="K501" t="s">
        <v>155</v>
      </c>
      <c r="L501" t="s">
        <v>593</v>
      </c>
      <c r="M501" t="s">
        <v>594</v>
      </c>
      <c r="N501" s="3" t="s">
        <v>59</v>
      </c>
      <c r="O501" s="3" t="s">
        <v>59</v>
      </c>
      <c r="P501" s="3" t="s">
        <v>59</v>
      </c>
      <c r="Q501" s="3">
        <v>100</v>
      </c>
      <c r="R501" s="3" t="s">
        <v>59</v>
      </c>
      <c r="S501" s="3" t="s">
        <v>59</v>
      </c>
      <c r="T501" s="3" t="s">
        <v>59</v>
      </c>
      <c r="U501" s="3" t="s">
        <v>59</v>
      </c>
      <c r="V501" s="3" t="s">
        <v>59</v>
      </c>
      <c r="W501" s="3" t="s">
        <v>59</v>
      </c>
      <c r="X501" s="3" t="s">
        <v>59</v>
      </c>
      <c r="Y501" s="3" t="s">
        <v>59</v>
      </c>
    </row>
    <row r="502" spans="1:25" hidden="1" x14ac:dyDescent="0.3">
      <c r="A502">
        <v>477</v>
      </c>
      <c r="B502" t="s">
        <v>910</v>
      </c>
      <c r="C502" t="s">
        <v>47</v>
      </c>
      <c r="D502" t="s">
        <v>571</v>
      </c>
      <c r="E502" t="s">
        <v>28</v>
      </c>
      <c r="F502" t="s">
        <v>29</v>
      </c>
      <c r="G502" t="s">
        <v>30</v>
      </c>
      <c r="H502" t="s">
        <v>153</v>
      </c>
      <c r="J502" t="s">
        <v>911</v>
      </c>
      <c r="K502" t="s">
        <v>155</v>
      </c>
      <c r="L502" t="s">
        <v>595</v>
      </c>
      <c r="M502" t="s">
        <v>596</v>
      </c>
      <c r="N502" s="3" t="s">
        <v>59</v>
      </c>
      <c r="O502" s="3" t="s">
        <v>59</v>
      </c>
      <c r="P502" s="3" t="s">
        <v>59</v>
      </c>
      <c r="Q502" s="3">
        <v>100</v>
      </c>
      <c r="R502" s="3" t="s">
        <v>59</v>
      </c>
      <c r="S502" s="3" t="s">
        <v>59</v>
      </c>
      <c r="T502" s="3" t="s">
        <v>59</v>
      </c>
      <c r="U502" s="3" t="s">
        <v>59</v>
      </c>
      <c r="V502" s="3" t="s">
        <v>59</v>
      </c>
      <c r="W502" s="3" t="s">
        <v>59</v>
      </c>
      <c r="X502" s="3" t="s">
        <v>59</v>
      </c>
      <c r="Y502" s="3" t="s">
        <v>59</v>
      </c>
    </row>
    <row r="503" spans="1:25" hidden="1" x14ac:dyDescent="0.3">
      <c r="A503" s="1">
        <v>478</v>
      </c>
      <c r="B503" s="1" t="s">
        <v>912</v>
      </c>
      <c r="C503" s="1" t="s">
        <v>47</v>
      </c>
      <c r="D503" s="1" t="s">
        <v>571</v>
      </c>
      <c r="E503" s="1" t="s">
        <v>28</v>
      </c>
      <c r="F503" s="1" t="s">
        <v>29</v>
      </c>
      <c r="G503" s="1" t="s">
        <v>30</v>
      </c>
      <c r="H503" s="1" t="s">
        <v>153</v>
      </c>
      <c r="I503" s="1"/>
      <c r="J503" s="1" t="s">
        <v>913</v>
      </c>
      <c r="K503" s="1" t="s">
        <v>223</v>
      </c>
      <c r="L503" s="1" t="s">
        <v>34</v>
      </c>
      <c r="M503" s="1" t="s">
        <v>34</v>
      </c>
      <c r="N503" s="3"/>
      <c r="O503" s="3">
        <v>0</v>
      </c>
      <c r="P503" s="4">
        <v>100</v>
      </c>
      <c r="Q503" s="3" t="s">
        <v>59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</row>
    <row r="504" spans="1:25" hidden="1" x14ac:dyDescent="0.3">
      <c r="A504">
        <v>478</v>
      </c>
      <c r="B504" t="s">
        <v>912</v>
      </c>
      <c r="C504" t="s">
        <v>47</v>
      </c>
      <c r="D504" t="s">
        <v>571</v>
      </c>
      <c r="E504" t="s">
        <v>28</v>
      </c>
      <c r="F504" t="s">
        <v>29</v>
      </c>
      <c r="G504" t="s">
        <v>30</v>
      </c>
      <c r="H504" t="s">
        <v>153</v>
      </c>
      <c r="J504" t="s">
        <v>913</v>
      </c>
      <c r="K504" t="s">
        <v>223</v>
      </c>
      <c r="L504" t="s">
        <v>573</v>
      </c>
      <c r="M504" t="s">
        <v>574</v>
      </c>
      <c r="N504" s="3" t="s">
        <v>59</v>
      </c>
      <c r="O504" s="3" t="s">
        <v>59</v>
      </c>
      <c r="P504" s="3" t="s">
        <v>59</v>
      </c>
      <c r="Q504" s="3" t="s">
        <v>59</v>
      </c>
      <c r="R504" s="3" t="s">
        <v>59</v>
      </c>
      <c r="S504" s="3" t="s">
        <v>59</v>
      </c>
      <c r="T504" s="3" t="s">
        <v>59</v>
      </c>
      <c r="U504" s="3" t="s">
        <v>59</v>
      </c>
      <c r="V504" s="3" t="s">
        <v>59</v>
      </c>
      <c r="W504" s="3" t="s">
        <v>59</v>
      </c>
      <c r="X504" s="3" t="s">
        <v>59</v>
      </c>
      <c r="Y504" s="3" t="s">
        <v>59</v>
      </c>
    </row>
    <row r="505" spans="1:25" hidden="1" x14ac:dyDescent="0.3">
      <c r="A505">
        <v>478</v>
      </c>
      <c r="B505" t="s">
        <v>912</v>
      </c>
      <c r="C505" t="s">
        <v>47</v>
      </c>
      <c r="D505" t="s">
        <v>571</v>
      </c>
      <c r="E505" t="s">
        <v>28</v>
      </c>
      <c r="F505" t="s">
        <v>29</v>
      </c>
      <c r="G505" t="s">
        <v>30</v>
      </c>
      <c r="H505" t="s">
        <v>153</v>
      </c>
      <c r="J505" t="s">
        <v>913</v>
      </c>
      <c r="K505" t="s">
        <v>223</v>
      </c>
      <c r="L505" t="s">
        <v>575</v>
      </c>
      <c r="M505" t="s">
        <v>576</v>
      </c>
      <c r="N505" s="3" t="s">
        <v>59</v>
      </c>
      <c r="O505" s="3" t="s">
        <v>59</v>
      </c>
      <c r="P505" s="3" t="s">
        <v>59</v>
      </c>
      <c r="Q505" s="3" t="s">
        <v>59</v>
      </c>
      <c r="R505" s="3" t="s">
        <v>59</v>
      </c>
      <c r="S505" s="3" t="s">
        <v>59</v>
      </c>
      <c r="T505" s="3" t="s">
        <v>59</v>
      </c>
      <c r="U505" s="3" t="s">
        <v>59</v>
      </c>
      <c r="V505" s="3" t="s">
        <v>59</v>
      </c>
      <c r="W505" s="3" t="s">
        <v>59</v>
      </c>
      <c r="X505" s="3" t="s">
        <v>59</v>
      </c>
      <c r="Y505" s="3" t="s">
        <v>59</v>
      </c>
    </row>
    <row r="506" spans="1:25" hidden="1" x14ac:dyDescent="0.3">
      <c r="A506">
        <v>478</v>
      </c>
      <c r="B506" t="s">
        <v>912</v>
      </c>
      <c r="C506" t="s">
        <v>47</v>
      </c>
      <c r="D506" t="s">
        <v>571</v>
      </c>
      <c r="E506" t="s">
        <v>28</v>
      </c>
      <c r="F506" t="s">
        <v>29</v>
      </c>
      <c r="G506" t="s">
        <v>30</v>
      </c>
      <c r="H506" t="s">
        <v>153</v>
      </c>
      <c r="J506" t="s">
        <v>913</v>
      </c>
      <c r="K506" t="s">
        <v>223</v>
      </c>
      <c r="L506" t="s">
        <v>577</v>
      </c>
      <c r="M506" t="s">
        <v>578</v>
      </c>
      <c r="N506" s="3" t="s">
        <v>59</v>
      </c>
      <c r="O506" s="3" t="s">
        <v>59</v>
      </c>
      <c r="P506" s="3">
        <v>100</v>
      </c>
      <c r="Q506" s="3" t="s">
        <v>59</v>
      </c>
      <c r="R506" s="3" t="s">
        <v>59</v>
      </c>
      <c r="S506" s="3" t="s">
        <v>59</v>
      </c>
      <c r="T506" s="3" t="s">
        <v>59</v>
      </c>
      <c r="U506" s="3" t="s">
        <v>59</v>
      </c>
      <c r="V506" s="3" t="s">
        <v>59</v>
      </c>
      <c r="W506" s="3" t="s">
        <v>59</v>
      </c>
      <c r="X506" s="3" t="s">
        <v>59</v>
      </c>
      <c r="Y506" s="3" t="s">
        <v>59</v>
      </c>
    </row>
    <row r="507" spans="1:25" hidden="1" x14ac:dyDescent="0.3">
      <c r="A507">
        <v>478</v>
      </c>
      <c r="B507" t="s">
        <v>912</v>
      </c>
      <c r="C507" t="s">
        <v>47</v>
      </c>
      <c r="D507" t="s">
        <v>571</v>
      </c>
      <c r="E507" t="s">
        <v>28</v>
      </c>
      <c r="F507" t="s">
        <v>29</v>
      </c>
      <c r="G507" t="s">
        <v>30</v>
      </c>
      <c r="H507" t="s">
        <v>153</v>
      </c>
      <c r="J507" t="s">
        <v>913</v>
      </c>
      <c r="K507" t="s">
        <v>223</v>
      </c>
      <c r="L507" t="s">
        <v>579</v>
      </c>
      <c r="M507" t="s">
        <v>580</v>
      </c>
      <c r="N507" s="3" t="s">
        <v>59</v>
      </c>
      <c r="O507" s="3" t="s">
        <v>59</v>
      </c>
      <c r="P507" s="3" t="s">
        <v>59</v>
      </c>
      <c r="Q507" s="3" t="s">
        <v>59</v>
      </c>
      <c r="R507" s="3" t="s">
        <v>59</v>
      </c>
      <c r="S507" s="3" t="s">
        <v>59</v>
      </c>
      <c r="T507" s="3" t="s">
        <v>59</v>
      </c>
      <c r="U507" s="3" t="s">
        <v>59</v>
      </c>
      <c r="V507" s="3" t="s">
        <v>59</v>
      </c>
      <c r="W507" s="3" t="s">
        <v>59</v>
      </c>
      <c r="X507" s="3" t="s">
        <v>59</v>
      </c>
      <c r="Y507" s="3" t="s">
        <v>59</v>
      </c>
    </row>
    <row r="508" spans="1:25" hidden="1" x14ac:dyDescent="0.3">
      <c r="A508">
        <v>478</v>
      </c>
      <c r="B508" t="s">
        <v>912</v>
      </c>
      <c r="C508" t="s">
        <v>47</v>
      </c>
      <c r="D508" t="s">
        <v>571</v>
      </c>
      <c r="E508" t="s">
        <v>28</v>
      </c>
      <c r="F508" t="s">
        <v>29</v>
      </c>
      <c r="G508" t="s">
        <v>30</v>
      </c>
      <c r="H508" t="s">
        <v>153</v>
      </c>
      <c r="J508" t="s">
        <v>913</v>
      </c>
      <c r="K508" t="s">
        <v>223</v>
      </c>
      <c r="L508" t="s">
        <v>581</v>
      </c>
      <c r="M508" t="s">
        <v>582</v>
      </c>
      <c r="N508" s="3" t="s">
        <v>59</v>
      </c>
      <c r="O508" s="3" t="s">
        <v>59</v>
      </c>
      <c r="P508" s="3" t="s">
        <v>59</v>
      </c>
      <c r="Q508" s="3" t="s">
        <v>59</v>
      </c>
      <c r="R508" s="3" t="s">
        <v>59</v>
      </c>
      <c r="S508" s="3" t="s">
        <v>59</v>
      </c>
      <c r="T508" s="3" t="s">
        <v>59</v>
      </c>
      <c r="U508" s="3" t="s">
        <v>59</v>
      </c>
      <c r="V508" s="3" t="s">
        <v>59</v>
      </c>
      <c r="W508" s="3" t="s">
        <v>59</v>
      </c>
      <c r="X508" s="3" t="s">
        <v>59</v>
      </c>
      <c r="Y508" s="3" t="s">
        <v>59</v>
      </c>
    </row>
    <row r="509" spans="1:25" hidden="1" x14ac:dyDescent="0.3">
      <c r="A509">
        <v>478</v>
      </c>
      <c r="B509" t="s">
        <v>912</v>
      </c>
      <c r="C509" t="s">
        <v>47</v>
      </c>
      <c r="D509" t="s">
        <v>571</v>
      </c>
      <c r="E509" t="s">
        <v>28</v>
      </c>
      <c r="F509" t="s">
        <v>29</v>
      </c>
      <c r="G509" t="s">
        <v>30</v>
      </c>
      <c r="H509" t="s">
        <v>153</v>
      </c>
      <c r="J509" t="s">
        <v>913</v>
      </c>
      <c r="K509" t="s">
        <v>223</v>
      </c>
      <c r="L509" t="s">
        <v>583</v>
      </c>
      <c r="M509" t="s">
        <v>584</v>
      </c>
      <c r="N509" s="3" t="s">
        <v>59</v>
      </c>
      <c r="O509" s="3" t="s">
        <v>59</v>
      </c>
      <c r="P509" s="3" t="s">
        <v>59</v>
      </c>
      <c r="Q509" s="3" t="s">
        <v>59</v>
      </c>
      <c r="R509" s="3" t="s">
        <v>59</v>
      </c>
      <c r="S509" s="3" t="s">
        <v>59</v>
      </c>
      <c r="T509" s="3" t="s">
        <v>59</v>
      </c>
      <c r="U509" s="3" t="s">
        <v>59</v>
      </c>
      <c r="V509" s="3" t="s">
        <v>59</v>
      </c>
      <c r="W509" s="3" t="s">
        <v>59</v>
      </c>
      <c r="X509" s="3" t="s">
        <v>59</v>
      </c>
      <c r="Y509" s="3" t="s">
        <v>59</v>
      </c>
    </row>
    <row r="510" spans="1:25" hidden="1" x14ac:dyDescent="0.3">
      <c r="A510">
        <v>478</v>
      </c>
      <c r="B510" t="s">
        <v>912</v>
      </c>
      <c r="C510" t="s">
        <v>47</v>
      </c>
      <c r="D510" t="s">
        <v>571</v>
      </c>
      <c r="E510" t="s">
        <v>28</v>
      </c>
      <c r="F510" t="s">
        <v>29</v>
      </c>
      <c r="G510" t="s">
        <v>30</v>
      </c>
      <c r="H510" t="s">
        <v>153</v>
      </c>
      <c r="J510" t="s">
        <v>913</v>
      </c>
      <c r="K510" t="s">
        <v>223</v>
      </c>
      <c r="L510" t="s">
        <v>585</v>
      </c>
      <c r="M510" t="s">
        <v>586</v>
      </c>
      <c r="N510" s="3" t="s">
        <v>59</v>
      </c>
      <c r="O510" s="3" t="s">
        <v>59</v>
      </c>
      <c r="P510" s="3" t="s">
        <v>59</v>
      </c>
      <c r="Q510" s="3" t="s">
        <v>59</v>
      </c>
      <c r="R510" s="3" t="s">
        <v>59</v>
      </c>
      <c r="S510" s="3" t="s">
        <v>59</v>
      </c>
      <c r="T510" s="3" t="s">
        <v>59</v>
      </c>
      <c r="U510" s="3" t="s">
        <v>59</v>
      </c>
      <c r="V510" s="3" t="s">
        <v>59</v>
      </c>
      <c r="W510" s="3" t="s">
        <v>59</v>
      </c>
      <c r="X510" s="3" t="s">
        <v>59</v>
      </c>
      <c r="Y510" s="3" t="s">
        <v>59</v>
      </c>
    </row>
    <row r="511" spans="1:25" hidden="1" x14ac:dyDescent="0.3">
      <c r="A511">
        <v>478</v>
      </c>
      <c r="B511" t="s">
        <v>912</v>
      </c>
      <c r="C511" t="s">
        <v>47</v>
      </c>
      <c r="D511" t="s">
        <v>571</v>
      </c>
      <c r="E511" t="s">
        <v>28</v>
      </c>
      <c r="F511" t="s">
        <v>29</v>
      </c>
      <c r="G511" t="s">
        <v>30</v>
      </c>
      <c r="H511" t="s">
        <v>153</v>
      </c>
      <c r="J511" t="s">
        <v>913</v>
      </c>
      <c r="K511" t="s">
        <v>223</v>
      </c>
      <c r="L511" t="s">
        <v>587</v>
      </c>
      <c r="M511" t="s">
        <v>588</v>
      </c>
      <c r="N511" s="3" t="s">
        <v>59</v>
      </c>
      <c r="O511" s="3" t="s">
        <v>59</v>
      </c>
      <c r="P511" s="3" t="s">
        <v>59</v>
      </c>
      <c r="Q511" s="3" t="s">
        <v>59</v>
      </c>
      <c r="R511" s="3" t="s">
        <v>59</v>
      </c>
      <c r="S511" s="3" t="s">
        <v>59</v>
      </c>
      <c r="T511" s="3" t="s">
        <v>59</v>
      </c>
      <c r="U511" s="3" t="s">
        <v>59</v>
      </c>
      <c r="V511" s="3" t="s">
        <v>59</v>
      </c>
      <c r="W511" s="3" t="s">
        <v>59</v>
      </c>
      <c r="X511" s="3" t="s">
        <v>59</v>
      </c>
      <c r="Y511" s="3" t="s">
        <v>59</v>
      </c>
    </row>
    <row r="512" spans="1:25" hidden="1" x14ac:dyDescent="0.3">
      <c r="A512">
        <v>478</v>
      </c>
      <c r="B512" t="s">
        <v>912</v>
      </c>
      <c r="C512" t="s">
        <v>47</v>
      </c>
      <c r="D512" t="s">
        <v>571</v>
      </c>
      <c r="E512" t="s">
        <v>28</v>
      </c>
      <c r="F512" t="s">
        <v>29</v>
      </c>
      <c r="G512" t="s">
        <v>30</v>
      </c>
      <c r="H512" t="s">
        <v>153</v>
      </c>
      <c r="J512" t="s">
        <v>913</v>
      </c>
      <c r="K512" t="s">
        <v>223</v>
      </c>
      <c r="L512" t="s">
        <v>589</v>
      </c>
      <c r="M512" t="s">
        <v>590</v>
      </c>
      <c r="N512" s="3" t="s">
        <v>59</v>
      </c>
      <c r="O512" s="3" t="s">
        <v>59</v>
      </c>
      <c r="P512" s="3" t="s">
        <v>59</v>
      </c>
      <c r="Q512" s="3" t="s">
        <v>59</v>
      </c>
      <c r="R512" s="3" t="s">
        <v>59</v>
      </c>
      <c r="S512" s="3" t="s">
        <v>59</v>
      </c>
      <c r="T512" s="3" t="s">
        <v>59</v>
      </c>
      <c r="U512" s="3" t="s">
        <v>59</v>
      </c>
      <c r="V512" s="3" t="s">
        <v>59</v>
      </c>
      <c r="W512" s="3" t="s">
        <v>59</v>
      </c>
      <c r="X512" s="3" t="s">
        <v>59</v>
      </c>
      <c r="Y512" s="3" t="s">
        <v>59</v>
      </c>
    </row>
    <row r="513" spans="1:25" hidden="1" x14ac:dyDescent="0.3">
      <c r="A513">
        <v>478</v>
      </c>
      <c r="B513" t="s">
        <v>912</v>
      </c>
      <c r="C513" t="s">
        <v>47</v>
      </c>
      <c r="D513" t="s">
        <v>571</v>
      </c>
      <c r="E513" t="s">
        <v>28</v>
      </c>
      <c r="F513" t="s">
        <v>29</v>
      </c>
      <c r="G513" t="s">
        <v>30</v>
      </c>
      <c r="H513" t="s">
        <v>153</v>
      </c>
      <c r="J513" t="s">
        <v>913</v>
      </c>
      <c r="K513" t="s">
        <v>223</v>
      </c>
      <c r="L513" t="s">
        <v>591</v>
      </c>
      <c r="M513" t="s">
        <v>592</v>
      </c>
      <c r="N513" s="3" t="s">
        <v>59</v>
      </c>
      <c r="O513" s="3" t="s">
        <v>59</v>
      </c>
      <c r="P513" s="3" t="s">
        <v>59</v>
      </c>
      <c r="Q513" s="3" t="s">
        <v>59</v>
      </c>
      <c r="R513" s="3" t="s">
        <v>59</v>
      </c>
      <c r="S513" s="3" t="s">
        <v>59</v>
      </c>
      <c r="T513" s="3" t="s">
        <v>59</v>
      </c>
      <c r="U513" s="3" t="s">
        <v>59</v>
      </c>
      <c r="V513" s="3" t="s">
        <v>59</v>
      </c>
      <c r="W513" s="3" t="s">
        <v>59</v>
      </c>
      <c r="X513" s="3" t="s">
        <v>59</v>
      </c>
      <c r="Y513" s="3" t="s">
        <v>59</v>
      </c>
    </row>
    <row r="514" spans="1:25" hidden="1" x14ac:dyDescent="0.3">
      <c r="A514">
        <v>478</v>
      </c>
      <c r="B514" t="s">
        <v>912</v>
      </c>
      <c r="C514" t="s">
        <v>47</v>
      </c>
      <c r="D514" t="s">
        <v>571</v>
      </c>
      <c r="E514" t="s">
        <v>28</v>
      </c>
      <c r="F514" t="s">
        <v>29</v>
      </c>
      <c r="G514" t="s">
        <v>30</v>
      </c>
      <c r="H514" t="s">
        <v>153</v>
      </c>
      <c r="J514" t="s">
        <v>913</v>
      </c>
      <c r="K514" t="s">
        <v>223</v>
      </c>
      <c r="L514" t="s">
        <v>593</v>
      </c>
      <c r="M514" t="s">
        <v>594</v>
      </c>
      <c r="N514" s="3" t="s">
        <v>59</v>
      </c>
      <c r="O514" s="3" t="s">
        <v>59</v>
      </c>
      <c r="P514" s="3" t="s">
        <v>59</v>
      </c>
      <c r="Q514" s="3" t="s">
        <v>59</v>
      </c>
      <c r="R514" s="3" t="s">
        <v>59</v>
      </c>
      <c r="S514" s="3" t="s">
        <v>59</v>
      </c>
      <c r="T514" s="3" t="s">
        <v>59</v>
      </c>
      <c r="U514" s="3" t="s">
        <v>59</v>
      </c>
      <c r="V514" s="3" t="s">
        <v>59</v>
      </c>
      <c r="W514" s="3" t="s">
        <v>59</v>
      </c>
      <c r="X514" s="3" t="s">
        <v>59</v>
      </c>
      <c r="Y514" s="3" t="s">
        <v>59</v>
      </c>
    </row>
    <row r="515" spans="1:25" hidden="1" x14ac:dyDescent="0.3">
      <c r="A515">
        <v>478</v>
      </c>
      <c r="B515" t="s">
        <v>912</v>
      </c>
      <c r="C515" t="s">
        <v>47</v>
      </c>
      <c r="D515" t="s">
        <v>571</v>
      </c>
      <c r="E515" t="s">
        <v>28</v>
      </c>
      <c r="F515" t="s">
        <v>29</v>
      </c>
      <c r="G515" t="s">
        <v>30</v>
      </c>
      <c r="H515" t="s">
        <v>153</v>
      </c>
      <c r="J515" t="s">
        <v>913</v>
      </c>
      <c r="K515" t="s">
        <v>223</v>
      </c>
      <c r="L515" t="s">
        <v>595</v>
      </c>
      <c r="M515" t="s">
        <v>596</v>
      </c>
      <c r="N515" s="3" t="s">
        <v>59</v>
      </c>
      <c r="O515" s="3" t="s">
        <v>59</v>
      </c>
      <c r="P515" s="3" t="s">
        <v>59</v>
      </c>
      <c r="Q515" s="3" t="s">
        <v>59</v>
      </c>
      <c r="R515" s="3" t="s">
        <v>59</v>
      </c>
      <c r="S515" s="3" t="s">
        <v>59</v>
      </c>
      <c r="T515" s="3" t="s">
        <v>59</v>
      </c>
      <c r="U515" s="3" t="s">
        <v>59</v>
      </c>
      <c r="V515" s="3" t="s">
        <v>59</v>
      </c>
      <c r="W515" s="3" t="s">
        <v>59</v>
      </c>
      <c r="X515" s="3" t="s">
        <v>59</v>
      </c>
      <c r="Y515" s="3" t="s">
        <v>59</v>
      </c>
    </row>
    <row r="516" spans="1:25" hidden="1" x14ac:dyDescent="0.3">
      <c r="A516" s="1">
        <v>479</v>
      </c>
      <c r="B516" s="1" t="s">
        <v>914</v>
      </c>
      <c r="C516" s="1" t="s">
        <v>47</v>
      </c>
      <c r="D516" s="1" t="s">
        <v>571</v>
      </c>
      <c r="E516" s="1" t="s">
        <v>28</v>
      </c>
      <c r="F516" s="1" t="s">
        <v>29</v>
      </c>
      <c r="G516" s="1" t="s">
        <v>30</v>
      </c>
      <c r="H516" s="1" t="s">
        <v>153</v>
      </c>
      <c r="I516" s="1">
        <v>100</v>
      </c>
      <c r="J516" s="1" t="s">
        <v>915</v>
      </c>
      <c r="K516" s="1" t="s">
        <v>155</v>
      </c>
      <c r="L516" s="1" t="s">
        <v>34</v>
      </c>
      <c r="M516" s="1" t="s">
        <v>34</v>
      </c>
      <c r="N516" s="3"/>
      <c r="O516" s="3"/>
      <c r="P516" s="4">
        <v>100</v>
      </c>
      <c r="Q516" s="4">
        <v>100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</row>
    <row r="517" spans="1:25" hidden="1" x14ac:dyDescent="0.3">
      <c r="A517">
        <v>479</v>
      </c>
      <c r="B517" t="s">
        <v>914</v>
      </c>
      <c r="C517" t="s">
        <v>47</v>
      </c>
      <c r="D517" t="s">
        <v>571</v>
      </c>
      <c r="E517" t="s">
        <v>28</v>
      </c>
      <c r="F517" t="s">
        <v>29</v>
      </c>
      <c r="G517" t="s">
        <v>30</v>
      </c>
      <c r="H517" t="s">
        <v>153</v>
      </c>
      <c r="I517">
        <v>100</v>
      </c>
      <c r="J517" t="s">
        <v>915</v>
      </c>
      <c r="K517" t="s">
        <v>155</v>
      </c>
      <c r="L517" t="s">
        <v>573</v>
      </c>
      <c r="M517" t="s">
        <v>574</v>
      </c>
      <c r="N517" s="3" t="s">
        <v>59</v>
      </c>
      <c r="O517" s="3" t="s">
        <v>59</v>
      </c>
      <c r="P517" s="3">
        <v>100</v>
      </c>
      <c r="Q517" s="3" t="s">
        <v>59</v>
      </c>
      <c r="R517" s="3" t="s">
        <v>59</v>
      </c>
      <c r="S517" s="3" t="s">
        <v>59</v>
      </c>
      <c r="T517" s="3" t="s">
        <v>59</v>
      </c>
      <c r="U517" s="3" t="s">
        <v>59</v>
      </c>
      <c r="V517" s="3" t="s">
        <v>59</v>
      </c>
      <c r="W517" s="3" t="s">
        <v>59</v>
      </c>
      <c r="X517" s="3" t="s">
        <v>59</v>
      </c>
      <c r="Y517" s="3" t="s">
        <v>59</v>
      </c>
    </row>
    <row r="518" spans="1:25" hidden="1" x14ac:dyDescent="0.3">
      <c r="A518">
        <v>479</v>
      </c>
      <c r="B518" t="s">
        <v>914</v>
      </c>
      <c r="C518" t="s">
        <v>47</v>
      </c>
      <c r="D518" t="s">
        <v>571</v>
      </c>
      <c r="E518" t="s">
        <v>28</v>
      </c>
      <c r="F518" t="s">
        <v>29</v>
      </c>
      <c r="G518" t="s">
        <v>30</v>
      </c>
      <c r="H518" t="s">
        <v>153</v>
      </c>
      <c r="I518">
        <v>100</v>
      </c>
      <c r="J518" t="s">
        <v>915</v>
      </c>
      <c r="K518" t="s">
        <v>155</v>
      </c>
      <c r="L518" t="s">
        <v>575</v>
      </c>
      <c r="M518" t="s">
        <v>576</v>
      </c>
      <c r="N518" s="3" t="s">
        <v>59</v>
      </c>
      <c r="O518" s="3" t="s">
        <v>59</v>
      </c>
      <c r="P518" s="3" t="s">
        <v>59</v>
      </c>
      <c r="Q518" s="3" t="s">
        <v>59</v>
      </c>
      <c r="R518" s="3" t="s">
        <v>59</v>
      </c>
      <c r="S518" s="3" t="s">
        <v>59</v>
      </c>
      <c r="T518" s="3" t="s">
        <v>59</v>
      </c>
      <c r="U518" s="3" t="s">
        <v>59</v>
      </c>
      <c r="V518" s="3" t="s">
        <v>59</v>
      </c>
      <c r="W518" s="3" t="s">
        <v>59</v>
      </c>
      <c r="X518" s="3" t="s">
        <v>59</v>
      </c>
      <c r="Y518" s="3" t="s">
        <v>59</v>
      </c>
    </row>
    <row r="519" spans="1:25" hidden="1" x14ac:dyDescent="0.3">
      <c r="A519">
        <v>479</v>
      </c>
      <c r="B519" t="s">
        <v>914</v>
      </c>
      <c r="C519" t="s">
        <v>47</v>
      </c>
      <c r="D519" t="s">
        <v>571</v>
      </c>
      <c r="E519" t="s">
        <v>28</v>
      </c>
      <c r="F519" t="s">
        <v>29</v>
      </c>
      <c r="G519" t="s">
        <v>30</v>
      </c>
      <c r="H519" t="s">
        <v>153</v>
      </c>
      <c r="I519">
        <v>100</v>
      </c>
      <c r="J519" t="s">
        <v>915</v>
      </c>
      <c r="K519" t="s">
        <v>155</v>
      </c>
      <c r="L519" t="s">
        <v>577</v>
      </c>
      <c r="M519" t="s">
        <v>578</v>
      </c>
      <c r="N519" s="3" t="s">
        <v>59</v>
      </c>
      <c r="O519" s="3" t="s">
        <v>59</v>
      </c>
      <c r="P519" s="3" t="s">
        <v>59</v>
      </c>
      <c r="Q519" s="3" t="s">
        <v>59</v>
      </c>
      <c r="R519" s="3" t="s">
        <v>59</v>
      </c>
      <c r="S519" s="3" t="s">
        <v>59</v>
      </c>
      <c r="T519" s="3" t="s">
        <v>59</v>
      </c>
      <c r="U519" s="3" t="s">
        <v>59</v>
      </c>
      <c r="V519" s="3" t="s">
        <v>59</v>
      </c>
      <c r="W519" s="3" t="s">
        <v>59</v>
      </c>
      <c r="X519" s="3" t="s">
        <v>59</v>
      </c>
      <c r="Y519" s="3" t="s">
        <v>59</v>
      </c>
    </row>
    <row r="520" spans="1:25" hidden="1" x14ac:dyDescent="0.3">
      <c r="A520">
        <v>479</v>
      </c>
      <c r="B520" t="s">
        <v>914</v>
      </c>
      <c r="C520" t="s">
        <v>47</v>
      </c>
      <c r="D520" t="s">
        <v>571</v>
      </c>
      <c r="E520" t="s">
        <v>28</v>
      </c>
      <c r="F520" t="s">
        <v>29</v>
      </c>
      <c r="G520" t="s">
        <v>30</v>
      </c>
      <c r="H520" t="s">
        <v>153</v>
      </c>
      <c r="I520">
        <v>100</v>
      </c>
      <c r="J520" t="s">
        <v>915</v>
      </c>
      <c r="K520" t="s">
        <v>155</v>
      </c>
      <c r="L520" t="s">
        <v>579</v>
      </c>
      <c r="M520" t="s">
        <v>580</v>
      </c>
      <c r="N520" s="3" t="s">
        <v>59</v>
      </c>
      <c r="O520" s="3" t="s">
        <v>59</v>
      </c>
      <c r="P520" s="3">
        <v>100</v>
      </c>
      <c r="Q520" s="3" t="s">
        <v>59</v>
      </c>
      <c r="R520" s="3" t="s">
        <v>59</v>
      </c>
      <c r="S520" s="3" t="s">
        <v>59</v>
      </c>
      <c r="T520" s="3" t="s">
        <v>59</v>
      </c>
      <c r="U520" s="3" t="s">
        <v>59</v>
      </c>
      <c r="V520" s="3" t="s">
        <v>59</v>
      </c>
      <c r="W520" s="3" t="s">
        <v>59</v>
      </c>
      <c r="X520" s="3" t="s">
        <v>59</v>
      </c>
      <c r="Y520" s="3" t="s">
        <v>59</v>
      </c>
    </row>
    <row r="521" spans="1:25" hidden="1" x14ac:dyDescent="0.3">
      <c r="A521">
        <v>479</v>
      </c>
      <c r="B521" t="s">
        <v>914</v>
      </c>
      <c r="C521" t="s">
        <v>47</v>
      </c>
      <c r="D521" t="s">
        <v>571</v>
      </c>
      <c r="E521" t="s">
        <v>28</v>
      </c>
      <c r="F521" t="s">
        <v>29</v>
      </c>
      <c r="G521" t="s">
        <v>30</v>
      </c>
      <c r="H521" t="s">
        <v>153</v>
      </c>
      <c r="I521">
        <v>100</v>
      </c>
      <c r="J521" t="s">
        <v>915</v>
      </c>
      <c r="K521" t="s">
        <v>155</v>
      </c>
      <c r="L521" t="s">
        <v>581</v>
      </c>
      <c r="M521" t="s">
        <v>582</v>
      </c>
      <c r="N521" s="3" t="s">
        <v>59</v>
      </c>
      <c r="O521" s="3" t="s">
        <v>59</v>
      </c>
      <c r="P521" s="3" t="s">
        <v>59</v>
      </c>
      <c r="Q521" s="3" t="s">
        <v>59</v>
      </c>
      <c r="R521" s="3" t="s">
        <v>59</v>
      </c>
      <c r="S521" s="3" t="s">
        <v>59</v>
      </c>
      <c r="T521" s="3" t="s">
        <v>59</v>
      </c>
      <c r="U521" s="3" t="s">
        <v>59</v>
      </c>
      <c r="V521" s="3" t="s">
        <v>59</v>
      </c>
      <c r="W521" s="3" t="s">
        <v>59</v>
      </c>
      <c r="X521" s="3" t="s">
        <v>59</v>
      </c>
      <c r="Y521" s="3" t="s">
        <v>59</v>
      </c>
    </row>
    <row r="522" spans="1:25" hidden="1" x14ac:dyDescent="0.3">
      <c r="A522">
        <v>479</v>
      </c>
      <c r="B522" t="s">
        <v>914</v>
      </c>
      <c r="C522" t="s">
        <v>47</v>
      </c>
      <c r="D522" t="s">
        <v>571</v>
      </c>
      <c r="E522" t="s">
        <v>28</v>
      </c>
      <c r="F522" t="s">
        <v>29</v>
      </c>
      <c r="G522" t="s">
        <v>30</v>
      </c>
      <c r="H522" t="s">
        <v>153</v>
      </c>
      <c r="I522">
        <v>100</v>
      </c>
      <c r="J522" t="s">
        <v>915</v>
      </c>
      <c r="K522" t="s">
        <v>155</v>
      </c>
      <c r="L522" t="s">
        <v>583</v>
      </c>
      <c r="M522" t="s">
        <v>584</v>
      </c>
      <c r="N522" s="3" t="s">
        <v>59</v>
      </c>
      <c r="O522" s="3" t="s">
        <v>59</v>
      </c>
      <c r="P522" s="3">
        <v>100</v>
      </c>
      <c r="Q522" s="3" t="s">
        <v>59</v>
      </c>
      <c r="R522" s="3" t="s">
        <v>59</v>
      </c>
      <c r="S522" s="3" t="s">
        <v>59</v>
      </c>
      <c r="T522" s="3" t="s">
        <v>59</v>
      </c>
      <c r="U522" s="3" t="s">
        <v>59</v>
      </c>
      <c r="V522" s="3" t="s">
        <v>59</v>
      </c>
      <c r="W522" s="3" t="s">
        <v>59</v>
      </c>
      <c r="X522" s="3" t="s">
        <v>59</v>
      </c>
      <c r="Y522" s="3" t="s">
        <v>59</v>
      </c>
    </row>
    <row r="523" spans="1:25" hidden="1" x14ac:dyDescent="0.3">
      <c r="A523">
        <v>479</v>
      </c>
      <c r="B523" t="s">
        <v>914</v>
      </c>
      <c r="C523" t="s">
        <v>47</v>
      </c>
      <c r="D523" t="s">
        <v>571</v>
      </c>
      <c r="E523" t="s">
        <v>28</v>
      </c>
      <c r="F523" t="s">
        <v>29</v>
      </c>
      <c r="G523" t="s">
        <v>30</v>
      </c>
      <c r="H523" t="s">
        <v>153</v>
      </c>
      <c r="I523">
        <v>100</v>
      </c>
      <c r="J523" t="s">
        <v>915</v>
      </c>
      <c r="K523" t="s">
        <v>155</v>
      </c>
      <c r="L523" t="s">
        <v>585</v>
      </c>
      <c r="M523" t="s">
        <v>586</v>
      </c>
      <c r="N523" s="3" t="s">
        <v>59</v>
      </c>
      <c r="O523" s="3" t="s">
        <v>59</v>
      </c>
      <c r="P523" s="3" t="s">
        <v>59</v>
      </c>
      <c r="Q523" s="3" t="s">
        <v>59</v>
      </c>
      <c r="R523" s="3" t="s">
        <v>59</v>
      </c>
      <c r="S523" s="3" t="s">
        <v>59</v>
      </c>
      <c r="T523" s="3" t="s">
        <v>59</v>
      </c>
      <c r="U523" s="3" t="s">
        <v>59</v>
      </c>
      <c r="V523" s="3" t="s">
        <v>59</v>
      </c>
      <c r="W523" s="3" t="s">
        <v>59</v>
      </c>
      <c r="X523" s="3" t="s">
        <v>59</v>
      </c>
      <c r="Y523" s="3" t="s">
        <v>59</v>
      </c>
    </row>
    <row r="524" spans="1:25" hidden="1" x14ac:dyDescent="0.3">
      <c r="A524">
        <v>479</v>
      </c>
      <c r="B524" t="s">
        <v>914</v>
      </c>
      <c r="C524" t="s">
        <v>47</v>
      </c>
      <c r="D524" t="s">
        <v>571</v>
      </c>
      <c r="E524" t="s">
        <v>28</v>
      </c>
      <c r="F524" t="s">
        <v>29</v>
      </c>
      <c r="G524" t="s">
        <v>30</v>
      </c>
      <c r="H524" t="s">
        <v>153</v>
      </c>
      <c r="I524">
        <v>100</v>
      </c>
      <c r="J524" t="s">
        <v>915</v>
      </c>
      <c r="K524" t="s">
        <v>155</v>
      </c>
      <c r="L524" t="s">
        <v>587</v>
      </c>
      <c r="M524" t="s">
        <v>588</v>
      </c>
      <c r="N524" s="3" t="s">
        <v>59</v>
      </c>
      <c r="O524" s="3" t="s">
        <v>59</v>
      </c>
      <c r="P524" s="3">
        <v>100</v>
      </c>
      <c r="Q524" s="3" t="s">
        <v>59</v>
      </c>
      <c r="R524" s="3" t="s">
        <v>59</v>
      </c>
      <c r="S524" s="3" t="s">
        <v>59</v>
      </c>
      <c r="T524" s="3" t="s">
        <v>59</v>
      </c>
      <c r="U524" s="3" t="s">
        <v>59</v>
      </c>
      <c r="V524" s="3" t="s">
        <v>59</v>
      </c>
      <c r="W524" s="3" t="s">
        <v>59</v>
      </c>
      <c r="X524" s="3" t="s">
        <v>59</v>
      </c>
      <c r="Y524" s="3" t="s">
        <v>59</v>
      </c>
    </row>
    <row r="525" spans="1:25" hidden="1" x14ac:dyDescent="0.3">
      <c r="A525">
        <v>479</v>
      </c>
      <c r="B525" t="s">
        <v>914</v>
      </c>
      <c r="C525" t="s">
        <v>47</v>
      </c>
      <c r="D525" t="s">
        <v>571</v>
      </c>
      <c r="E525" t="s">
        <v>28</v>
      </c>
      <c r="F525" t="s">
        <v>29</v>
      </c>
      <c r="G525" t="s">
        <v>30</v>
      </c>
      <c r="H525" t="s">
        <v>153</v>
      </c>
      <c r="I525">
        <v>100</v>
      </c>
      <c r="J525" t="s">
        <v>915</v>
      </c>
      <c r="K525" t="s">
        <v>155</v>
      </c>
      <c r="L525" t="s">
        <v>589</v>
      </c>
      <c r="M525" t="s">
        <v>590</v>
      </c>
      <c r="N525" s="3" t="s">
        <v>59</v>
      </c>
      <c r="O525" s="3" t="s">
        <v>59</v>
      </c>
      <c r="P525" s="3" t="s">
        <v>59</v>
      </c>
      <c r="Q525" s="3" t="s">
        <v>59</v>
      </c>
      <c r="R525" s="3" t="s">
        <v>59</v>
      </c>
      <c r="S525" s="3" t="s">
        <v>59</v>
      </c>
      <c r="T525" s="3" t="s">
        <v>59</v>
      </c>
      <c r="U525" s="3" t="s">
        <v>59</v>
      </c>
      <c r="V525" s="3" t="s">
        <v>59</v>
      </c>
      <c r="W525" s="3" t="s">
        <v>59</v>
      </c>
      <c r="X525" s="3" t="s">
        <v>59</v>
      </c>
      <c r="Y525" s="3" t="s">
        <v>59</v>
      </c>
    </row>
    <row r="526" spans="1:25" hidden="1" x14ac:dyDescent="0.3">
      <c r="A526">
        <v>479</v>
      </c>
      <c r="B526" t="s">
        <v>914</v>
      </c>
      <c r="C526" t="s">
        <v>47</v>
      </c>
      <c r="D526" t="s">
        <v>571</v>
      </c>
      <c r="E526" t="s">
        <v>28</v>
      </c>
      <c r="F526" t="s">
        <v>29</v>
      </c>
      <c r="G526" t="s">
        <v>30</v>
      </c>
      <c r="H526" t="s">
        <v>153</v>
      </c>
      <c r="I526">
        <v>100</v>
      </c>
      <c r="J526" t="s">
        <v>915</v>
      </c>
      <c r="K526" t="s">
        <v>155</v>
      </c>
      <c r="L526" t="s">
        <v>591</v>
      </c>
      <c r="M526" t="s">
        <v>592</v>
      </c>
      <c r="N526" s="3" t="s">
        <v>59</v>
      </c>
      <c r="O526" s="3" t="s">
        <v>59</v>
      </c>
      <c r="P526" s="3">
        <v>100</v>
      </c>
      <c r="Q526" s="3" t="s">
        <v>59</v>
      </c>
      <c r="R526" s="3" t="s">
        <v>59</v>
      </c>
      <c r="S526" s="3" t="s">
        <v>59</v>
      </c>
      <c r="T526" s="3" t="s">
        <v>59</v>
      </c>
      <c r="U526" s="3" t="s">
        <v>59</v>
      </c>
      <c r="V526" s="3" t="s">
        <v>59</v>
      </c>
      <c r="W526" s="3" t="s">
        <v>59</v>
      </c>
      <c r="X526" s="3" t="s">
        <v>59</v>
      </c>
      <c r="Y526" s="3" t="s">
        <v>59</v>
      </c>
    </row>
    <row r="527" spans="1:25" hidden="1" x14ac:dyDescent="0.3">
      <c r="A527">
        <v>479</v>
      </c>
      <c r="B527" t="s">
        <v>914</v>
      </c>
      <c r="C527" t="s">
        <v>47</v>
      </c>
      <c r="D527" t="s">
        <v>571</v>
      </c>
      <c r="E527" t="s">
        <v>28</v>
      </c>
      <c r="F527" t="s">
        <v>29</v>
      </c>
      <c r="G527" t="s">
        <v>30</v>
      </c>
      <c r="H527" t="s">
        <v>153</v>
      </c>
      <c r="I527">
        <v>100</v>
      </c>
      <c r="J527" t="s">
        <v>915</v>
      </c>
      <c r="K527" t="s">
        <v>155</v>
      </c>
      <c r="L527" t="s">
        <v>593</v>
      </c>
      <c r="M527" t="s">
        <v>594</v>
      </c>
      <c r="N527" s="3" t="s">
        <v>59</v>
      </c>
      <c r="O527" s="3" t="s">
        <v>59</v>
      </c>
      <c r="P527" s="3" t="s">
        <v>59</v>
      </c>
      <c r="Q527" s="3" t="s">
        <v>59</v>
      </c>
      <c r="R527" s="3" t="s">
        <v>59</v>
      </c>
      <c r="S527" s="3" t="s">
        <v>59</v>
      </c>
      <c r="T527" s="3" t="s">
        <v>59</v>
      </c>
      <c r="U527" s="3" t="s">
        <v>59</v>
      </c>
      <c r="V527" s="3" t="s">
        <v>59</v>
      </c>
      <c r="W527" s="3" t="s">
        <v>59</v>
      </c>
      <c r="X527" s="3" t="s">
        <v>59</v>
      </c>
      <c r="Y527" s="3" t="s">
        <v>59</v>
      </c>
    </row>
    <row r="528" spans="1:25" hidden="1" x14ac:dyDescent="0.3">
      <c r="A528">
        <v>479</v>
      </c>
      <c r="B528" t="s">
        <v>914</v>
      </c>
      <c r="C528" t="s">
        <v>47</v>
      </c>
      <c r="D528" t="s">
        <v>571</v>
      </c>
      <c r="E528" t="s">
        <v>28</v>
      </c>
      <c r="F528" t="s">
        <v>29</v>
      </c>
      <c r="G528" t="s">
        <v>30</v>
      </c>
      <c r="H528" t="s">
        <v>153</v>
      </c>
      <c r="I528">
        <v>100</v>
      </c>
      <c r="J528" t="s">
        <v>915</v>
      </c>
      <c r="K528" t="s">
        <v>155</v>
      </c>
      <c r="L528" t="s">
        <v>595</v>
      </c>
      <c r="M528" t="s">
        <v>596</v>
      </c>
      <c r="N528" s="3" t="s">
        <v>59</v>
      </c>
      <c r="O528" s="3" t="s">
        <v>59</v>
      </c>
      <c r="P528" s="3">
        <v>100</v>
      </c>
      <c r="Q528" s="3">
        <v>100</v>
      </c>
      <c r="R528" s="3" t="s">
        <v>59</v>
      </c>
      <c r="S528" s="3" t="s">
        <v>59</v>
      </c>
      <c r="T528" s="3" t="s">
        <v>59</v>
      </c>
      <c r="U528" s="3" t="s">
        <v>59</v>
      </c>
      <c r="V528" s="3" t="s">
        <v>59</v>
      </c>
      <c r="W528" s="3" t="s">
        <v>59</v>
      </c>
      <c r="X528" s="3" t="s">
        <v>59</v>
      </c>
      <c r="Y528" s="3" t="s">
        <v>59</v>
      </c>
    </row>
    <row r="529" spans="1:25" hidden="1" x14ac:dyDescent="0.3">
      <c r="A529" s="1">
        <v>480</v>
      </c>
      <c r="B529" s="1" t="s">
        <v>916</v>
      </c>
      <c r="C529" s="1" t="s">
        <v>47</v>
      </c>
      <c r="D529" s="1" t="s">
        <v>571</v>
      </c>
      <c r="E529" s="1" t="s">
        <v>28</v>
      </c>
      <c r="F529" s="1" t="s">
        <v>29</v>
      </c>
      <c r="G529" s="1" t="s">
        <v>30</v>
      </c>
      <c r="H529" s="1" t="s">
        <v>153</v>
      </c>
      <c r="I529" s="1">
        <v>100</v>
      </c>
      <c r="J529" s="1" t="s">
        <v>917</v>
      </c>
      <c r="K529" s="1" t="s">
        <v>155</v>
      </c>
      <c r="L529" s="1" t="s">
        <v>34</v>
      </c>
      <c r="M529" s="1" t="s">
        <v>34</v>
      </c>
      <c r="N529" s="3"/>
      <c r="O529" s="3"/>
      <c r="P529" s="4">
        <v>100</v>
      </c>
      <c r="Q529" s="4">
        <v>100</v>
      </c>
      <c r="R529" s="3" t="s">
        <v>59</v>
      </c>
      <c r="S529" s="3" t="s">
        <v>59</v>
      </c>
      <c r="T529" s="3" t="s">
        <v>59</v>
      </c>
      <c r="U529" s="3" t="s">
        <v>59</v>
      </c>
      <c r="V529" s="3" t="s">
        <v>59</v>
      </c>
      <c r="W529" s="3" t="s">
        <v>59</v>
      </c>
      <c r="X529" s="3" t="s">
        <v>59</v>
      </c>
      <c r="Y529" s="3" t="s">
        <v>59</v>
      </c>
    </row>
    <row r="530" spans="1:25" hidden="1" x14ac:dyDescent="0.3">
      <c r="A530">
        <v>480</v>
      </c>
      <c r="B530" t="s">
        <v>916</v>
      </c>
      <c r="C530" t="s">
        <v>47</v>
      </c>
      <c r="D530" t="s">
        <v>571</v>
      </c>
      <c r="E530" t="s">
        <v>28</v>
      </c>
      <c r="F530" t="s">
        <v>29</v>
      </c>
      <c r="G530" t="s">
        <v>30</v>
      </c>
      <c r="H530" t="s">
        <v>153</v>
      </c>
      <c r="I530">
        <v>100</v>
      </c>
      <c r="J530" t="s">
        <v>917</v>
      </c>
      <c r="K530" t="s">
        <v>155</v>
      </c>
      <c r="L530" t="s">
        <v>573</v>
      </c>
      <c r="M530" t="s">
        <v>574</v>
      </c>
      <c r="N530" s="3" t="s">
        <v>59</v>
      </c>
      <c r="O530" s="3" t="s">
        <v>59</v>
      </c>
      <c r="P530" s="3" t="s">
        <v>59</v>
      </c>
      <c r="Q530" s="3" t="s">
        <v>59</v>
      </c>
      <c r="R530" s="3" t="s">
        <v>59</v>
      </c>
      <c r="S530" s="3" t="s">
        <v>59</v>
      </c>
      <c r="T530" s="3" t="s">
        <v>59</v>
      </c>
      <c r="U530" s="3" t="s">
        <v>59</v>
      </c>
      <c r="V530" s="3" t="s">
        <v>59</v>
      </c>
      <c r="W530" s="3" t="s">
        <v>59</v>
      </c>
      <c r="X530" s="3" t="s">
        <v>59</v>
      </c>
      <c r="Y530" s="3" t="s">
        <v>59</v>
      </c>
    </row>
    <row r="531" spans="1:25" hidden="1" x14ac:dyDescent="0.3">
      <c r="A531">
        <v>480</v>
      </c>
      <c r="B531" t="s">
        <v>916</v>
      </c>
      <c r="C531" t="s">
        <v>47</v>
      </c>
      <c r="D531" t="s">
        <v>571</v>
      </c>
      <c r="E531" t="s">
        <v>28</v>
      </c>
      <c r="F531" t="s">
        <v>29</v>
      </c>
      <c r="G531" t="s">
        <v>30</v>
      </c>
      <c r="H531" t="s">
        <v>153</v>
      </c>
      <c r="I531">
        <v>100</v>
      </c>
      <c r="J531" t="s">
        <v>917</v>
      </c>
      <c r="K531" t="s">
        <v>155</v>
      </c>
      <c r="L531" t="s">
        <v>575</v>
      </c>
      <c r="M531" t="s">
        <v>576</v>
      </c>
      <c r="N531" s="3" t="s">
        <v>59</v>
      </c>
      <c r="O531" s="3" t="s">
        <v>59</v>
      </c>
      <c r="P531" s="3" t="s">
        <v>59</v>
      </c>
      <c r="Q531" s="3" t="s">
        <v>59</v>
      </c>
      <c r="R531" s="3" t="s">
        <v>59</v>
      </c>
      <c r="S531" s="3" t="s">
        <v>59</v>
      </c>
      <c r="T531" s="3" t="s">
        <v>59</v>
      </c>
      <c r="U531" s="3" t="s">
        <v>59</v>
      </c>
      <c r="V531" s="3" t="s">
        <v>59</v>
      </c>
      <c r="W531" s="3" t="s">
        <v>59</v>
      </c>
      <c r="X531" s="3" t="s">
        <v>59</v>
      </c>
      <c r="Y531" s="3" t="s">
        <v>59</v>
      </c>
    </row>
    <row r="532" spans="1:25" hidden="1" x14ac:dyDescent="0.3">
      <c r="A532">
        <v>480</v>
      </c>
      <c r="B532" t="s">
        <v>916</v>
      </c>
      <c r="C532" t="s">
        <v>47</v>
      </c>
      <c r="D532" t="s">
        <v>571</v>
      </c>
      <c r="E532" t="s">
        <v>28</v>
      </c>
      <c r="F532" t="s">
        <v>29</v>
      </c>
      <c r="G532" t="s">
        <v>30</v>
      </c>
      <c r="H532" t="s">
        <v>153</v>
      </c>
      <c r="I532">
        <v>100</v>
      </c>
      <c r="J532" t="s">
        <v>917</v>
      </c>
      <c r="K532" t="s">
        <v>155</v>
      </c>
      <c r="L532" t="s">
        <v>577</v>
      </c>
      <c r="M532" t="s">
        <v>578</v>
      </c>
      <c r="N532" s="3" t="s">
        <v>59</v>
      </c>
      <c r="O532" s="3" t="s">
        <v>59</v>
      </c>
      <c r="P532" s="3">
        <v>100</v>
      </c>
      <c r="Q532" s="3" t="s">
        <v>59</v>
      </c>
      <c r="R532" s="3" t="s">
        <v>59</v>
      </c>
      <c r="S532" s="3" t="s">
        <v>59</v>
      </c>
      <c r="T532" s="3" t="s">
        <v>59</v>
      </c>
      <c r="U532" s="3" t="s">
        <v>59</v>
      </c>
      <c r="V532" s="3" t="s">
        <v>59</v>
      </c>
      <c r="W532" s="3" t="s">
        <v>59</v>
      </c>
      <c r="X532" s="3" t="s">
        <v>59</v>
      </c>
      <c r="Y532" s="3" t="s">
        <v>59</v>
      </c>
    </row>
    <row r="533" spans="1:25" hidden="1" x14ac:dyDescent="0.3">
      <c r="A533">
        <v>480</v>
      </c>
      <c r="B533" t="s">
        <v>916</v>
      </c>
      <c r="C533" t="s">
        <v>47</v>
      </c>
      <c r="D533" t="s">
        <v>571</v>
      </c>
      <c r="E533" t="s">
        <v>28</v>
      </c>
      <c r="F533" t="s">
        <v>29</v>
      </c>
      <c r="G533" t="s">
        <v>30</v>
      </c>
      <c r="H533" t="s">
        <v>153</v>
      </c>
      <c r="I533">
        <v>100</v>
      </c>
      <c r="J533" t="s">
        <v>917</v>
      </c>
      <c r="K533" t="s">
        <v>155</v>
      </c>
      <c r="L533" t="s">
        <v>579</v>
      </c>
      <c r="M533" t="s">
        <v>580</v>
      </c>
      <c r="N533" s="3" t="s">
        <v>59</v>
      </c>
      <c r="O533" s="3" t="s">
        <v>59</v>
      </c>
      <c r="P533" s="3" t="s">
        <v>59</v>
      </c>
      <c r="Q533" s="3" t="s">
        <v>59</v>
      </c>
      <c r="R533" s="3" t="s">
        <v>59</v>
      </c>
      <c r="S533" s="3" t="s">
        <v>59</v>
      </c>
      <c r="T533" s="3" t="s">
        <v>59</v>
      </c>
      <c r="U533" s="3" t="s">
        <v>59</v>
      </c>
      <c r="V533" s="3" t="s">
        <v>59</v>
      </c>
      <c r="W533" s="3" t="s">
        <v>59</v>
      </c>
      <c r="X533" s="3" t="s">
        <v>59</v>
      </c>
      <c r="Y533" s="3" t="s">
        <v>59</v>
      </c>
    </row>
    <row r="534" spans="1:25" hidden="1" x14ac:dyDescent="0.3">
      <c r="A534">
        <v>480</v>
      </c>
      <c r="B534" t="s">
        <v>916</v>
      </c>
      <c r="C534" t="s">
        <v>47</v>
      </c>
      <c r="D534" t="s">
        <v>571</v>
      </c>
      <c r="E534" t="s">
        <v>28</v>
      </c>
      <c r="F534" t="s">
        <v>29</v>
      </c>
      <c r="G534" t="s">
        <v>30</v>
      </c>
      <c r="H534" t="s">
        <v>153</v>
      </c>
      <c r="I534">
        <v>100</v>
      </c>
      <c r="J534" t="s">
        <v>917</v>
      </c>
      <c r="K534" t="s">
        <v>155</v>
      </c>
      <c r="L534" t="s">
        <v>581</v>
      </c>
      <c r="M534" t="s">
        <v>582</v>
      </c>
      <c r="N534" s="3" t="s">
        <v>59</v>
      </c>
      <c r="O534" s="3" t="s">
        <v>59</v>
      </c>
      <c r="P534" s="3" t="s">
        <v>59</v>
      </c>
      <c r="Q534" s="3" t="s">
        <v>59</v>
      </c>
      <c r="R534" s="3" t="s">
        <v>59</v>
      </c>
      <c r="S534" s="3" t="s">
        <v>59</v>
      </c>
      <c r="T534" s="3" t="s">
        <v>59</v>
      </c>
      <c r="U534" s="3" t="s">
        <v>59</v>
      </c>
      <c r="V534" s="3" t="s">
        <v>59</v>
      </c>
      <c r="W534" s="3" t="s">
        <v>59</v>
      </c>
      <c r="X534" s="3" t="s">
        <v>59</v>
      </c>
      <c r="Y534" s="3" t="s">
        <v>59</v>
      </c>
    </row>
    <row r="535" spans="1:25" hidden="1" x14ac:dyDescent="0.3">
      <c r="A535">
        <v>480</v>
      </c>
      <c r="B535" t="s">
        <v>916</v>
      </c>
      <c r="C535" t="s">
        <v>47</v>
      </c>
      <c r="D535" t="s">
        <v>571</v>
      </c>
      <c r="E535" t="s">
        <v>28</v>
      </c>
      <c r="F535" t="s">
        <v>29</v>
      </c>
      <c r="G535" t="s">
        <v>30</v>
      </c>
      <c r="H535" t="s">
        <v>153</v>
      </c>
      <c r="I535">
        <v>100</v>
      </c>
      <c r="J535" t="s">
        <v>917</v>
      </c>
      <c r="K535" t="s">
        <v>155</v>
      </c>
      <c r="L535" t="s">
        <v>583</v>
      </c>
      <c r="M535" t="s">
        <v>584</v>
      </c>
      <c r="N535" s="3" t="s">
        <v>59</v>
      </c>
      <c r="O535" s="3" t="s">
        <v>59</v>
      </c>
      <c r="P535" s="3" t="s">
        <v>59</v>
      </c>
      <c r="Q535" s="3" t="s">
        <v>59</v>
      </c>
      <c r="R535" s="3" t="s">
        <v>59</v>
      </c>
      <c r="S535" s="3" t="s">
        <v>59</v>
      </c>
      <c r="T535" s="3" t="s">
        <v>59</v>
      </c>
      <c r="U535" s="3" t="s">
        <v>59</v>
      </c>
      <c r="V535" s="3" t="s">
        <v>59</v>
      </c>
      <c r="W535" s="3" t="s">
        <v>59</v>
      </c>
      <c r="X535" s="3" t="s">
        <v>59</v>
      </c>
      <c r="Y535" s="3" t="s">
        <v>59</v>
      </c>
    </row>
    <row r="536" spans="1:25" hidden="1" x14ac:dyDescent="0.3">
      <c r="A536">
        <v>480</v>
      </c>
      <c r="B536" t="s">
        <v>916</v>
      </c>
      <c r="C536" t="s">
        <v>47</v>
      </c>
      <c r="D536" t="s">
        <v>571</v>
      </c>
      <c r="E536" t="s">
        <v>28</v>
      </c>
      <c r="F536" t="s">
        <v>29</v>
      </c>
      <c r="G536" t="s">
        <v>30</v>
      </c>
      <c r="H536" t="s">
        <v>153</v>
      </c>
      <c r="I536">
        <v>100</v>
      </c>
      <c r="J536" t="s">
        <v>917</v>
      </c>
      <c r="K536" t="s">
        <v>155</v>
      </c>
      <c r="L536" t="s">
        <v>585</v>
      </c>
      <c r="M536" t="s">
        <v>586</v>
      </c>
      <c r="N536" s="3" t="s">
        <v>59</v>
      </c>
      <c r="O536" s="3" t="s">
        <v>59</v>
      </c>
      <c r="P536" s="3" t="s">
        <v>59</v>
      </c>
      <c r="Q536" s="3" t="s">
        <v>59</v>
      </c>
      <c r="R536" s="3" t="s">
        <v>59</v>
      </c>
      <c r="S536" s="3" t="s">
        <v>59</v>
      </c>
      <c r="T536" s="3" t="s">
        <v>59</v>
      </c>
      <c r="U536" s="3" t="s">
        <v>59</v>
      </c>
      <c r="V536" s="3" t="s">
        <v>59</v>
      </c>
      <c r="W536" s="3" t="s">
        <v>59</v>
      </c>
      <c r="X536" s="3" t="s">
        <v>59</v>
      </c>
      <c r="Y536" s="3" t="s">
        <v>59</v>
      </c>
    </row>
    <row r="537" spans="1:25" hidden="1" x14ac:dyDescent="0.3">
      <c r="A537">
        <v>480</v>
      </c>
      <c r="B537" t="s">
        <v>916</v>
      </c>
      <c r="C537" t="s">
        <v>47</v>
      </c>
      <c r="D537" t="s">
        <v>571</v>
      </c>
      <c r="E537" t="s">
        <v>28</v>
      </c>
      <c r="F537" t="s">
        <v>29</v>
      </c>
      <c r="G537" t="s">
        <v>30</v>
      </c>
      <c r="H537" t="s">
        <v>153</v>
      </c>
      <c r="I537">
        <v>100</v>
      </c>
      <c r="J537" t="s">
        <v>917</v>
      </c>
      <c r="K537" t="s">
        <v>155</v>
      </c>
      <c r="L537" t="s">
        <v>587</v>
      </c>
      <c r="M537" t="s">
        <v>588</v>
      </c>
      <c r="N537" s="3" t="s">
        <v>59</v>
      </c>
      <c r="O537" s="3" t="s">
        <v>59</v>
      </c>
      <c r="P537" s="3" t="s">
        <v>59</v>
      </c>
      <c r="Q537" s="3" t="s">
        <v>59</v>
      </c>
      <c r="R537" s="3" t="s">
        <v>59</v>
      </c>
      <c r="S537" s="3" t="s">
        <v>59</v>
      </c>
      <c r="T537" s="3" t="s">
        <v>59</v>
      </c>
      <c r="U537" s="3" t="s">
        <v>59</v>
      </c>
      <c r="V537" s="3" t="s">
        <v>59</v>
      </c>
      <c r="W537" s="3" t="s">
        <v>59</v>
      </c>
      <c r="X537" s="3" t="s">
        <v>59</v>
      </c>
      <c r="Y537" s="3" t="s">
        <v>59</v>
      </c>
    </row>
    <row r="538" spans="1:25" hidden="1" x14ac:dyDescent="0.3">
      <c r="A538">
        <v>480</v>
      </c>
      <c r="B538" t="s">
        <v>916</v>
      </c>
      <c r="C538" t="s">
        <v>47</v>
      </c>
      <c r="D538" t="s">
        <v>571</v>
      </c>
      <c r="E538" t="s">
        <v>28</v>
      </c>
      <c r="F538" t="s">
        <v>29</v>
      </c>
      <c r="G538" t="s">
        <v>30</v>
      </c>
      <c r="H538" t="s">
        <v>153</v>
      </c>
      <c r="I538">
        <v>100</v>
      </c>
      <c r="J538" t="s">
        <v>917</v>
      </c>
      <c r="K538" t="s">
        <v>155</v>
      </c>
      <c r="L538" t="s">
        <v>589</v>
      </c>
      <c r="M538" t="s">
        <v>590</v>
      </c>
      <c r="N538" s="3" t="s">
        <v>59</v>
      </c>
      <c r="O538" s="3" t="s">
        <v>59</v>
      </c>
      <c r="P538" s="3" t="s">
        <v>59</v>
      </c>
      <c r="Q538" s="3" t="s">
        <v>59</v>
      </c>
      <c r="R538" s="3" t="s">
        <v>59</v>
      </c>
      <c r="S538" s="3" t="s">
        <v>59</v>
      </c>
      <c r="T538" s="3" t="s">
        <v>59</v>
      </c>
      <c r="U538" s="3" t="s">
        <v>59</v>
      </c>
      <c r="V538" s="3" t="s">
        <v>59</v>
      </c>
      <c r="W538" s="3" t="s">
        <v>59</v>
      </c>
      <c r="X538" s="3" t="s">
        <v>59</v>
      </c>
      <c r="Y538" s="3" t="s">
        <v>59</v>
      </c>
    </row>
    <row r="539" spans="1:25" hidden="1" x14ac:dyDescent="0.3">
      <c r="A539">
        <v>480</v>
      </c>
      <c r="B539" t="s">
        <v>916</v>
      </c>
      <c r="C539" t="s">
        <v>47</v>
      </c>
      <c r="D539" t="s">
        <v>571</v>
      </c>
      <c r="E539" t="s">
        <v>28</v>
      </c>
      <c r="F539" t="s">
        <v>29</v>
      </c>
      <c r="G539" t="s">
        <v>30</v>
      </c>
      <c r="H539" t="s">
        <v>153</v>
      </c>
      <c r="I539">
        <v>100</v>
      </c>
      <c r="J539" t="s">
        <v>917</v>
      </c>
      <c r="K539" t="s">
        <v>155</v>
      </c>
      <c r="L539" t="s">
        <v>591</v>
      </c>
      <c r="M539" t="s">
        <v>592</v>
      </c>
      <c r="N539" s="3" t="s">
        <v>59</v>
      </c>
      <c r="O539" s="3" t="s">
        <v>59</v>
      </c>
      <c r="P539" s="3" t="s">
        <v>59</v>
      </c>
      <c r="Q539" s="3" t="s">
        <v>59</v>
      </c>
      <c r="R539" s="3" t="s">
        <v>59</v>
      </c>
      <c r="S539" s="3" t="s">
        <v>59</v>
      </c>
      <c r="T539" s="3" t="s">
        <v>59</v>
      </c>
      <c r="U539" s="3" t="s">
        <v>59</v>
      </c>
      <c r="V539" s="3" t="s">
        <v>59</v>
      </c>
      <c r="W539" s="3" t="s">
        <v>59</v>
      </c>
      <c r="X539" s="3" t="s">
        <v>59</v>
      </c>
      <c r="Y539" s="3" t="s">
        <v>59</v>
      </c>
    </row>
    <row r="540" spans="1:25" hidden="1" x14ac:dyDescent="0.3">
      <c r="A540">
        <v>480</v>
      </c>
      <c r="B540" t="s">
        <v>916</v>
      </c>
      <c r="C540" t="s">
        <v>47</v>
      </c>
      <c r="D540" t="s">
        <v>571</v>
      </c>
      <c r="E540" t="s">
        <v>28</v>
      </c>
      <c r="F540" t="s">
        <v>29</v>
      </c>
      <c r="G540" t="s">
        <v>30</v>
      </c>
      <c r="H540" t="s">
        <v>153</v>
      </c>
      <c r="I540">
        <v>100</v>
      </c>
      <c r="J540" t="s">
        <v>917</v>
      </c>
      <c r="K540" t="s">
        <v>155</v>
      </c>
      <c r="L540" t="s">
        <v>593</v>
      </c>
      <c r="M540" t="s">
        <v>594</v>
      </c>
      <c r="N540" s="3" t="s">
        <v>59</v>
      </c>
      <c r="O540" s="3" t="s">
        <v>59</v>
      </c>
      <c r="P540" s="3" t="s">
        <v>59</v>
      </c>
      <c r="Q540" s="3" t="s">
        <v>59</v>
      </c>
      <c r="R540" s="3" t="s">
        <v>59</v>
      </c>
      <c r="S540" s="3" t="s">
        <v>59</v>
      </c>
      <c r="T540" s="3" t="s">
        <v>59</v>
      </c>
      <c r="U540" s="3" t="s">
        <v>59</v>
      </c>
      <c r="V540" s="3" t="s">
        <v>59</v>
      </c>
      <c r="W540" s="3" t="s">
        <v>59</v>
      </c>
      <c r="X540" s="3" t="s">
        <v>59</v>
      </c>
      <c r="Y540" s="3" t="s">
        <v>59</v>
      </c>
    </row>
    <row r="541" spans="1:25" hidden="1" x14ac:dyDescent="0.3">
      <c r="A541">
        <v>480</v>
      </c>
      <c r="B541" t="s">
        <v>916</v>
      </c>
      <c r="C541" t="s">
        <v>47</v>
      </c>
      <c r="D541" t="s">
        <v>571</v>
      </c>
      <c r="E541" t="s">
        <v>28</v>
      </c>
      <c r="F541" t="s">
        <v>29</v>
      </c>
      <c r="G541" t="s">
        <v>30</v>
      </c>
      <c r="H541" t="s">
        <v>153</v>
      </c>
      <c r="I541">
        <v>100</v>
      </c>
      <c r="J541" t="s">
        <v>917</v>
      </c>
      <c r="K541" t="s">
        <v>155</v>
      </c>
      <c r="L541" t="s">
        <v>595</v>
      </c>
      <c r="M541" t="s">
        <v>596</v>
      </c>
      <c r="N541" s="3" t="s">
        <v>59</v>
      </c>
      <c r="O541" s="3" t="s">
        <v>59</v>
      </c>
      <c r="P541" s="3" t="s">
        <v>59</v>
      </c>
      <c r="Q541" s="3" t="s">
        <v>59</v>
      </c>
      <c r="R541" s="3" t="s">
        <v>59</v>
      </c>
      <c r="S541" s="3" t="s">
        <v>59</v>
      </c>
      <c r="T541" s="3" t="s">
        <v>59</v>
      </c>
      <c r="U541" s="3" t="s">
        <v>59</v>
      </c>
      <c r="V541" s="3" t="s">
        <v>59</v>
      </c>
      <c r="W541" s="3" t="s">
        <v>59</v>
      </c>
      <c r="X541" s="3" t="s">
        <v>59</v>
      </c>
      <c r="Y541" s="3" t="s">
        <v>59</v>
      </c>
    </row>
    <row r="542" spans="1:25" hidden="1" x14ac:dyDescent="0.3">
      <c r="A542" s="1">
        <v>481</v>
      </c>
      <c r="B542" s="1" t="s">
        <v>918</v>
      </c>
      <c r="C542" s="1" t="s">
        <v>26</v>
      </c>
      <c r="D542" s="1" t="s">
        <v>896</v>
      </c>
      <c r="E542" s="1" t="s">
        <v>28</v>
      </c>
      <c r="F542" s="1" t="s">
        <v>29</v>
      </c>
      <c r="G542" s="1" t="s">
        <v>30</v>
      </c>
      <c r="H542" s="1" t="s">
        <v>153</v>
      </c>
      <c r="I542" s="1">
        <v>100</v>
      </c>
      <c r="J542" s="1" t="s">
        <v>919</v>
      </c>
      <c r="K542" s="1" t="s">
        <v>155</v>
      </c>
      <c r="L542" s="1" t="s">
        <v>34</v>
      </c>
      <c r="M542" s="1" t="s">
        <v>34</v>
      </c>
      <c r="N542" s="3" t="s">
        <v>59</v>
      </c>
      <c r="O542" s="4">
        <v>100</v>
      </c>
      <c r="P542" s="3" t="s">
        <v>59</v>
      </c>
      <c r="Q542" s="4">
        <v>100</v>
      </c>
      <c r="R542" s="3"/>
      <c r="S542" s="3"/>
      <c r="T542" s="3"/>
      <c r="U542" s="3"/>
      <c r="V542" s="3"/>
      <c r="W542" s="3"/>
      <c r="X542" s="3"/>
      <c r="Y542" s="3"/>
    </row>
    <row r="543" spans="1:25" hidden="1" x14ac:dyDescent="0.3">
      <c r="A543">
        <v>481</v>
      </c>
      <c r="B543" t="s">
        <v>918</v>
      </c>
      <c r="C543" t="s">
        <v>26</v>
      </c>
      <c r="D543" t="s">
        <v>896</v>
      </c>
      <c r="E543" t="s">
        <v>28</v>
      </c>
      <c r="F543" t="s">
        <v>29</v>
      </c>
      <c r="G543" t="s">
        <v>30</v>
      </c>
      <c r="H543" t="s">
        <v>153</v>
      </c>
      <c r="I543">
        <v>100</v>
      </c>
      <c r="J543" t="s">
        <v>919</v>
      </c>
      <c r="K543" t="s">
        <v>155</v>
      </c>
      <c r="M543" t="s">
        <v>216</v>
      </c>
      <c r="N543" s="3" t="s">
        <v>59</v>
      </c>
      <c r="O543" s="3"/>
      <c r="P543" s="3" t="s">
        <v>59</v>
      </c>
      <c r="Q543" s="3"/>
      <c r="R543" s="3" t="s">
        <v>59</v>
      </c>
      <c r="S543" s="3" t="s">
        <v>59</v>
      </c>
      <c r="T543" s="3" t="s">
        <v>59</v>
      </c>
      <c r="U543" s="3" t="s">
        <v>59</v>
      </c>
      <c r="V543" s="3" t="s">
        <v>59</v>
      </c>
      <c r="W543" s="3" t="s">
        <v>59</v>
      </c>
      <c r="X543" s="3" t="s">
        <v>59</v>
      </c>
      <c r="Y543" s="3" t="s">
        <v>59</v>
      </c>
    </row>
    <row r="544" spans="1:25" hidden="1" x14ac:dyDescent="0.3">
      <c r="A544" s="1">
        <v>486</v>
      </c>
      <c r="B544" s="1" t="s">
        <v>931</v>
      </c>
      <c r="C544" s="1" t="s">
        <v>26</v>
      </c>
      <c r="D544" s="1" t="s">
        <v>83</v>
      </c>
      <c r="E544" s="1" t="s">
        <v>28</v>
      </c>
      <c r="F544" s="1" t="s">
        <v>29</v>
      </c>
      <c r="G544" s="1" t="s">
        <v>30</v>
      </c>
      <c r="H544" s="1" t="s">
        <v>31</v>
      </c>
      <c r="I544" s="1" t="s">
        <v>117</v>
      </c>
      <c r="J544" s="1" t="s">
        <v>932</v>
      </c>
      <c r="K544" s="1" t="s">
        <v>33</v>
      </c>
      <c r="L544" s="1" t="s">
        <v>33</v>
      </c>
      <c r="M544" s="1" t="s">
        <v>34</v>
      </c>
      <c r="N544" s="3"/>
      <c r="O544" s="8">
        <v>2890610</v>
      </c>
      <c r="P544" s="8">
        <v>2700000</v>
      </c>
      <c r="Q544" s="8">
        <v>4900000</v>
      </c>
      <c r="R544" s="3"/>
      <c r="S544" s="3"/>
      <c r="T544" s="3"/>
      <c r="U544" s="3"/>
      <c r="V544" s="3"/>
      <c r="W544" s="3"/>
      <c r="X544" s="3"/>
      <c r="Y544" s="3"/>
    </row>
    <row r="545" spans="1:25" hidden="1" x14ac:dyDescent="0.3">
      <c r="A545" s="1">
        <v>506</v>
      </c>
      <c r="B545" s="1" t="s">
        <v>968</v>
      </c>
      <c r="C545" s="1" t="s">
        <v>47</v>
      </c>
      <c r="D545" s="1" t="s">
        <v>511</v>
      </c>
      <c r="E545" s="1" t="s">
        <v>44</v>
      </c>
      <c r="F545" s="1" t="s">
        <v>29</v>
      </c>
      <c r="G545" s="1" t="s">
        <v>30</v>
      </c>
      <c r="H545" s="1" t="s">
        <v>31</v>
      </c>
      <c r="I545" s="1">
        <v>80</v>
      </c>
      <c r="J545" s="1" t="s">
        <v>969</v>
      </c>
      <c r="K545" s="1" t="s">
        <v>33</v>
      </c>
      <c r="L545" s="1" t="s">
        <v>33</v>
      </c>
      <c r="M545" s="1" t="s">
        <v>34</v>
      </c>
      <c r="N545" s="5">
        <v>92.5</v>
      </c>
      <c r="O545" s="5">
        <v>95</v>
      </c>
      <c r="P545" s="7">
        <v>67</v>
      </c>
      <c r="Q545" s="3"/>
      <c r="R545" s="3"/>
      <c r="S545" s="3"/>
      <c r="T545" s="3"/>
      <c r="U545" s="3"/>
      <c r="V545" s="3"/>
      <c r="W545" s="3"/>
      <c r="X545" s="3"/>
      <c r="Y545" s="3"/>
    </row>
    <row r="546" spans="1:25" hidden="1" x14ac:dyDescent="0.3">
      <c r="A546" s="1">
        <v>507</v>
      </c>
      <c r="B546" s="1" t="s">
        <v>970</v>
      </c>
      <c r="C546" s="1" t="s">
        <v>47</v>
      </c>
      <c r="D546" s="1" t="s">
        <v>422</v>
      </c>
      <c r="E546" s="1" t="s">
        <v>44</v>
      </c>
      <c r="F546" s="1" t="s">
        <v>29</v>
      </c>
      <c r="G546" s="1" t="s">
        <v>30</v>
      </c>
      <c r="H546" s="1" t="s">
        <v>31</v>
      </c>
      <c r="I546" s="1">
        <v>80</v>
      </c>
      <c r="J546" s="1" t="s">
        <v>971</v>
      </c>
      <c r="K546" s="1" t="s">
        <v>33</v>
      </c>
      <c r="L546" s="1" t="s">
        <v>33</v>
      </c>
      <c r="M546" s="1" t="s">
        <v>34</v>
      </c>
      <c r="N546" s="5">
        <v>99</v>
      </c>
      <c r="O546" s="5">
        <v>98.75</v>
      </c>
      <c r="P546" s="6">
        <v>77</v>
      </c>
      <c r="Q546" s="3"/>
      <c r="R546" s="3"/>
      <c r="S546" s="3"/>
      <c r="T546" s="3"/>
      <c r="U546" s="3"/>
      <c r="V546" s="3"/>
      <c r="W546" s="3"/>
      <c r="X546" s="3"/>
      <c r="Y546" s="3"/>
    </row>
    <row r="547" spans="1:25" hidden="1" x14ac:dyDescent="0.3">
      <c r="A547" s="1">
        <v>514</v>
      </c>
      <c r="B547" s="1" t="s">
        <v>1034</v>
      </c>
      <c r="C547" s="1" t="s">
        <v>26</v>
      </c>
      <c r="D547" s="1" t="s">
        <v>810</v>
      </c>
      <c r="E547" s="1" t="s">
        <v>28</v>
      </c>
      <c r="F547" s="1" t="s">
        <v>29</v>
      </c>
      <c r="G547" s="1" t="s">
        <v>30</v>
      </c>
      <c r="H547" s="1" t="s">
        <v>31</v>
      </c>
      <c r="I547" s="1">
        <v>70</v>
      </c>
      <c r="J547" s="1" t="s">
        <v>1035</v>
      </c>
      <c r="K547" s="1" t="s">
        <v>33</v>
      </c>
      <c r="L547" s="1" t="s">
        <v>33</v>
      </c>
      <c r="M547" s="1" t="s">
        <v>34</v>
      </c>
      <c r="N547" s="7">
        <v>45.96</v>
      </c>
      <c r="O547" s="5">
        <v>91.82</v>
      </c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hidden="1" x14ac:dyDescent="0.3">
      <c r="A548" s="1">
        <v>515</v>
      </c>
      <c r="B548" s="1" t="s">
        <v>1036</v>
      </c>
      <c r="C548" s="1" t="s">
        <v>47</v>
      </c>
      <c r="D548" s="1" t="s">
        <v>48</v>
      </c>
      <c r="E548" s="1" t="s">
        <v>28</v>
      </c>
      <c r="F548" s="1" t="s">
        <v>29</v>
      </c>
      <c r="G548" s="1" t="s">
        <v>30</v>
      </c>
      <c r="H548" s="1" t="s">
        <v>31</v>
      </c>
      <c r="I548" s="1" t="s">
        <v>117</v>
      </c>
      <c r="J548" s="1" t="s">
        <v>1037</v>
      </c>
      <c r="K548" s="1" t="s">
        <v>33</v>
      </c>
      <c r="L548" s="1" t="s">
        <v>33</v>
      </c>
      <c r="M548" s="1" t="s">
        <v>34</v>
      </c>
      <c r="N548" s="8">
        <v>66.67</v>
      </c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hidden="1" x14ac:dyDescent="0.3">
      <c r="A549" s="1">
        <v>516</v>
      </c>
      <c r="B549" s="1" t="s">
        <v>1038</v>
      </c>
      <c r="C549" s="1" t="s">
        <v>26</v>
      </c>
      <c r="D549" s="1" t="s">
        <v>48</v>
      </c>
      <c r="E549" s="1" t="s">
        <v>28</v>
      </c>
      <c r="F549" s="1" t="s">
        <v>29</v>
      </c>
      <c r="G549" s="1" t="s">
        <v>30</v>
      </c>
      <c r="H549" s="1" t="s">
        <v>31</v>
      </c>
      <c r="I549" s="1" t="s">
        <v>117</v>
      </c>
      <c r="J549" s="1" t="s">
        <v>1039</v>
      </c>
      <c r="K549" s="1" t="s">
        <v>33</v>
      </c>
      <c r="L549" s="1" t="s">
        <v>33</v>
      </c>
      <c r="M549" s="1" t="s">
        <v>34</v>
      </c>
      <c r="N549" s="8">
        <v>315.79000000000002</v>
      </c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hidden="1" x14ac:dyDescent="0.3">
      <c r="A550" s="1">
        <v>519</v>
      </c>
      <c r="B550" s="1" t="s">
        <v>1042</v>
      </c>
      <c r="C550" s="1" t="s">
        <v>26</v>
      </c>
      <c r="D550" s="1" t="s">
        <v>605</v>
      </c>
      <c r="E550" s="1" t="s">
        <v>44</v>
      </c>
      <c r="F550" s="1" t="s">
        <v>29</v>
      </c>
      <c r="G550" s="1" t="s">
        <v>30</v>
      </c>
      <c r="H550" s="1" t="s">
        <v>153</v>
      </c>
      <c r="I550" s="1">
        <v>100</v>
      </c>
      <c r="J550" s="1" t="s">
        <v>1043</v>
      </c>
      <c r="K550" s="1" t="s">
        <v>186</v>
      </c>
      <c r="L550" s="1" t="s">
        <v>34</v>
      </c>
      <c r="M550" s="1" t="s">
        <v>34</v>
      </c>
      <c r="N550" s="5">
        <v>131.13</v>
      </c>
      <c r="O550" s="5">
        <v>431.45</v>
      </c>
      <c r="P550" s="3" t="s">
        <v>59</v>
      </c>
      <c r="Q550" s="3" t="s">
        <v>59</v>
      </c>
      <c r="R550" s="3" t="s">
        <v>59</v>
      </c>
      <c r="S550" s="3" t="s">
        <v>59</v>
      </c>
      <c r="T550" s="3" t="s">
        <v>59</v>
      </c>
      <c r="U550" s="3" t="s">
        <v>59</v>
      </c>
      <c r="V550" s="3" t="s">
        <v>59</v>
      </c>
      <c r="W550" s="3" t="s">
        <v>59</v>
      </c>
      <c r="X550" s="3" t="s">
        <v>59</v>
      </c>
      <c r="Y550" s="3" t="s">
        <v>59</v>
      </c>
    </row>
    <row r="551" spans="1:25" hidden="1" x14ac:dyDescent="0.3">
      <c r="A551">
        <v>519</v>
      </c>
      <c r="B551" t="s">
        <v>1042</v>
      </c>
      <c r="C551" t="s">
        <v>26</v>
      </c>
      <c r="D551" t="s">
        <v>605</v>
      </c>
      <c r="E551" t="s">
        <v>44</v>
      </c>
      <c r="F551" t="s">
        <v>29</v>
      </c>
      <c r="G551" t="s">
        <v>30</v>
      </c>
      <c r="H551" t="s">
        <v>153</v>
      </c>
      <c r="I551">
        <v>100</v>
      </c>
      <c r="J551" t="s">
        <v>1043</v>
      </c>
      <c r="K551" t="s">
        <v>186</v>
      </c>
      <c r="L551" t="s">
        <v>1044</v>
      </c>
      <c r="M551" t="s">
        <v>1045</v>
      </c>
      <c r="N551" s="3">
        <v>114.11</v>
      </c>
      <c r="O551" s="3">
        <v>112.9</v>
      </c>
      <c r="P551" s="3" t="s">
        <v>59</v>
      </c>
      <c r="Q551" s="3" t="s">
        <v>59</v>
      </c>
      <c r="R551" s="3" t="s">
        <v>59</v>
      </c>
      <c r="S551" s="3" t="s">
        <v>59</v>
      </c>
      <c r="T551" s="3" t="s">
        <v>59</v>
      </c>
      <c r="U551" s="3" t="s">
        <v>59</v>
      </c>
      <c r="V551" s="3" t="s">
        <v>59</v>
      </c>
      <c r="W551" s="3" t="s">
        <v>59</v>
      </c>
      <c r="X551" s="3" t="s">
        <v>59</v>
      </c>
      <c r="Y551" s="3" t="s">
        <v>59</v>
      </c>
    </row>
    <row r="552" spans="1:25" hidden="1" x14ac:dyDescent="0.3">
      <c r="A552">
        <v>519</v>
      </c>
      <c r="B552" t="s">
        <v>1042</v>
      </c>
      <c r="C552" t="s">
        <v>26</v>
      </c>
      <c r="D552" t="s">
        <v>605</v>
      </c>
      <c r="E552" t="s">
        <v>44</v>
      </c>
      <c r="F552" t="s">
        <v>29</v>
      </c>
      <c r="G552" t="s">
        <v>30</v>
      </c>
      <c r="H552" t="s">
        <v>153</v>
      </c>
      <c r="I552">
        <v>100</v>
      </c>
      <c r="J552" t="s">
        <v>1043</v>
      </c>
      <c r="K552" t="s">
        <v>186</v>
      </c>
      <c r="L552" t="s">
        <v>41</v>
      </c>
      <c r="M552" t="s">
        <v>1046</v>
      </c>
      <c r="N552" s="3">
        <v>148.15</v>
      </c>
      <c r="O552" s="3">
        <v>750</v>
      </c>
      <c r="P552" s="3" t="s">
        <v>59</v>
      </c>
      <c r="Q552" s="3" t="s">
        <v>59</v>
      </c>
      <c r="R552" s="3" t="s">
        <v>59</v>
      </c>
      <c r="S552" s="3" t="s">
        <v>59</v>
      </c>
      <c r="T552" s="3" t="s">
        <v>59</v>
      </c>
      <c r="U552" s="3" t="s">
        <v>59</v>
      </c>
      <c r="V552" s="3" t="s">
        <v>59</v>
      </c>
      <c r="W552" s="3" t="s">
        <v>59</v>
      </c>
      <c r="X552" s="3" t="s">
        <v>59</v>
      </c>
      <c r="Y552" s="3" t="s">
        <v>59</v>
      </c>
    </row>
    <row r="553" spans="1:25" hidden="1" x14ac:dyDescent="0.3">
      <c r="A553" s="1">
        <v>523</v>
      </c>
      <c r="B553" s="1" t="s">
        <v>559</v>
      </c>
      <c r="C553" s="1" t="s">
        <v>47</v>
      </c>
      <c r="D553" s="1" t="s">
        <v>152</v>
      </c>
      <c r="E553" s="1" t="s">
        <v>28</v>
      </c>
      <c r="F553" s="1" t="s">
        <v>29</v>
      </c>
      <c r="G553" s="1" t="s">
        <v>30</v>
      </c>
      <c r="H553" s="1" t="s">
        <v>153</v>
      </c>
      <c r="I553" s="1">
        <v>95</v>
      </c>
      <c r="J553" s="1" t="s">
        <v>1049</v>
      </c>
      <c r="K553" s="1" t="s">
        <v>155</v>
      </c>
      <c r="L553" s="1" t="s">
        <v>34</v>
      </c>
      <c r="M553" s="1" t="s">
        <v>34</v>
      </c>
      <c r="N553" s="4">
        <v>95.82</v>
      </c>
      <c r="O553" s="5">
        <v>125.74</v>
      </c>
      <c r="P553" s="3" t="s">
        <v>59</v>
      </c>
      <c r="Q553" s="3" t="s">
        <v>59</v>
      </c>
      <c r="R553" s="3" t="s">
        <v>59</v>
      </c>
      <c r="S553" s="3" t="s">
        <v>59</v>
      </c>
      <c r="T553" s="3" t="s">
        <v>59</v>
      </c>
      <c r="U553" s="3" t="s">
        <v>59</v>
      </c>
      <c r="V553" s="3" t="s">
        <v>59</v>
      </c>
      <c r="W553" s="3" t="s">
        <v>59</v>
      </c>
      <c r="X553" s="3" t="s">
        <v>59</v>
      </c>
      <c r="Y553" s="3" t="s">
        <v>59</v>
      </c>
    </row>
    <row r="554" spans="1:25" hidden="1" x14ac:dyDescent="0.3">
      <c r="A554">
        <v>523</v>
      </c>
      <c r="B554" t="s">
        <v>559</v>
      </c>
      <c r="C554" t="s">
        <v>47</v>
      </c>
      <c r="D554" t="s">
        <v>152</v>
      </c>
      <c r="E554" t="s">
        <v>28</v>
      </c>
      <c r="F554" t="s">
        <v>29</v>
      </c>
      <c r="G554" t="s">
        <v>30</v>
      </c>
      <c r="H554" t="s">
        <v>153</v>
      </c>
      <c r="I554">
        <v>95</v>
      </c>
      <c r="J554" t="s">
        <v>1049</v>
      </c>
      <c r="K554" t="s">
        <v>155</v>
      </c>
      <c r="L554" t="s">
        <v>1050</v>
      </c>
      <c r="M554" t="s">
        <v>1051</v>
      </c>
      <c r="N554" s="3">
        <v>105.18</v>
      </c>
      <c r="O554" s="3">
        <v>102.54</v>
      </c>
      <c r="P554" s="3" t="s">
        <v>59</v>
      </c>
      <c r="Q554" s="3" t="s">
        <v>59</v>
      </c>
      <c r="R554" s="3" t="s">
        <v>59</v>
      </c>
      <c r="S554" s="3" t="s">
        <v>59</v>
      </c>
      <c r="T554" s="3" t="s">
        <v>59</v>
      </c>
      <c r="U554" s="3" t="s">
        <v>59</v>
      </c>
      <c r="V554" s="3" t="s">
        <v>59</v>
      </c>
      <c r="W554" s="3" t="s">
        <v>59</v>
      </c>
      <c r="X554" s="3" t="s">
        <v>59</v>
      </c>
      <c r="Y554" s="3" t="s">
        <v>59</v>
      </c>
    </row>
    <row r="555" spans="1:25" hidden="1" x14ac:dyDescent="0.3">
      <c r="A555">
        <v>523</v>
      </c>
      <c r="B555" t="s">
        <v>559</v>
      </c>
      <c r="C555" t="s">
        <v>47</v>
      </c>
      <c r="D555" t="s">
        <v>152</v>
      </c>
      <c r="E555" t="s">
        <v>28</v>
      </c>
      <c r="F555" t="s">
        <v>29</v>
      </c>
      <c r="G555" t="s">
        <v>30</v>
      </c>
      <c r="H555" t="s">
        <v>153</v>
      </c>
      <c r="I555">
        <v>95</v>
      </c>
      <c r="J555" t="s">
        <v>1049</v>
      </c>
      <c r="K555" t="s">
        <v>155</v>
      </c>
      <c r="L555" t="s">
        <v>566</v>
      </c>
      <c r="M555" t="s">
        <v>567</v>
      </c>
      <c r="N555" s="3">
        <v>85.89</v>
      </c>
      <c r="O555" s="3">
        <v>126.48</v>
      </c>
      <c r="P555" s="3" t="s">
        <v>59</v>
      </c>
      <c r="Q555" s="3" t="s">
        <v>59</v>
      </c>
      <c r="R555" s="3" t="s">
        <v>59</v>
      </c>
      <c r="S555" s="3" t="s">
        <v>59</v>
      </c>
      <c r="T555" s="3" t="s">
        <v>59</v>
      </c>
      <c r="U555" s="3" t="s">
        <v>59</v>
      </c>
      <c r="V555" s="3" t="s">
        <v>59</v>
      </c>
      <c r="W555" s="3" t="s">
        <v>59</v>
      </c>
      <c r="X555" s="3" t="s">
        <v>59</v>
      </c>
      <c r="Y555" s="3" t="s">
        <v>59</v>
      </c>
    </row>
    <row r="556" spans="1:25" hidden="1" x14ac:dyDescent="0.3">
      <c r="A556">
        <v>523</v>
      </c>
      <c r="B556" t="s">
        <v>559</v>
      </c>
      <c r="C556" t="s">
        <v>47</v>
      </c>
      <c r="D556" t="s">
        <v>152</v>
      </c>
      <c r="E556" t="s">
        <v>28</v>
      </c>
      <c r="F556" t="s">
        <v>29</v>
      </c>
      <c r="G556" t="s">
        <v>30</v>
      </c>
      <c r="H556" t="s">
        <v>153</v>
      </c>
      <c r="I556">
        <v>95</v>
      </c>
      <c r="J556" t="s">
        <v>1049</v>
      </c>
      <c r="K556" t="s">
        <v>155</v>
      </c>
      <c r="L556" t="s">
        <v>1052</v>
      </c>
      <c r="M556" t="s">
        <v>1053</v>
      </c>
      <c r="N556" s="3">
        <v>103.91</v>
      </c>
      <c r="O556" s="3">
        <v>136.59</v>
      </c>
      <c r="P556" s="3" t="s">
        <v>59</v>
      </c>
      <c r="Q556" s="3" t="s">
        <v>59</v>
      </c>
      <c r="R556" s="3" t="s">
        <v>59</v>
      </c>
      <c r="S556" s="3" t="s">
        <v>59</v>
      </c>
      <c r="T556" s="3" t="s">
        <v>59</v>
      </c>
      <c r="U556" s="3" t="s">
        <v>59</v>
      </c>
      <c r="V556" s="3" t="s">
        <v>59</v>
      </c>
      <c r="W556" s="3" t="s">
        <v>59</v>
      </c>
      <c r="X556" s="3" t="s">
        <v>59</v>
      </c>
      <c r="Y556" s="3" t="s">
        <v>59</v>
      </c>
    </row>
    <row r="557" spans="1:25" hidden="1" x14ac:dyDescent="0.3">
      <c r="A557" s="1">
        <v>524</v>
      </c>
      <c r="B557" s="1" t="s">
        <v>1054</v>
      </c>
      <c r="C557" s="1" t="s">
        <v>26</v>
      </c>
      <c r="D557" s="1" t="s">
        <v>751</v>
      </c>
      <c r="E557" s="1" t="s">
        <v>28</v>
      </c>
      <c r="F557" s="1" t="s">
        <v>29</v>
      </c>
      <c r="G557" s="1" t="s">
        <v>30</v>
      </c>
      <c r="H557" s="1" t="s">
        <v>153</v>
      </c>
      <c r="I557" s="1">
        <v>100</v>
      </c>
      <c r="J557" s="1" t="s">
        <v>1055</v>
      </c>
      <c r="K557" s="1" t="s">
        <v>155</v>
      </c>
      <c r="L557" s="1" t="s">
        <v>34</v>
      </c>
      <c r="M557" s="1" t="s">
        <v>34</v>
      </c>
      <c r="N557" s="5">
        <v>106.07</v>
      </c>
      <c r="O557" s="6">
        <v>99.38</v>
      </c>
      <c r="P557" s="3" t="s">
        <v>59</v>
      </c>
      <c r="Q557" s="3" t="s">
        <v>59</v>
      </c>
      <c r="R557" s="3" t="s">
        <v>59</v>
      </c>
      <c r="S557" s="3" t="s">
        <v>59</v>
      </c>
      <c r="T557" s="3" t="s">
        <v>59</v>
      </c>
      <c r="U557" s="3" t="s">
        <v>59</v>
      </c>
      <c r="V557" s="3" t="s">
        <v>59</v>
      </c>
      <c r="W557" s="3" t="s">
        <v>59</v>
      </c>
      <c r="X557" s="3" t="s">
        <v>59</v>
      </c>
      <c r="Y557" s="3" t="s">
        <v>59</v>
      </c>
    </row>
    <row r="558" spans="1:25" hidden="1" x14ac:dyDescent="0.3">
      <c r="A558">
        <v>524</v>
      </c>
      <c r="B558" t="s">
        <v>1054</v>
      </c>
      <c r="C558" t="s">
        <v>26</v>
      </c>
      <c r="D558" t="s">
        <v>751</v>
      </c>
      <c r="E558" t="s">
        <v>28</v>
      </c>
      <c r="F558" t="s">
        <v>29</v>
      </c>
      <c r="G558" t="s">
        <v>30</v>
      </c>
      <c r="H558" t="s">
        <v>153</v>
      </c>
      <c r="I558">
        <v>100</v>
      </c>
      <c r="J558" t="s">
        <v>1055</v>
      </c>
      <c r="K558" t="s">
        <v>155</v>
      </c>
      <c r="L558" t="s">
        <v>1056</v>
      </c>
      <c r="M558" t="s">
        <v>1057</v>
      </c>
      <c r="N558" s="3">
        <v>99.64</v>
      </c>
      <c r="O558" s="3">
        <v>93.32</v>
      </c>
      <c r="P558" s="3" t="s">
        <v>59</v>
      </c>
      <c r="Q558" s="3" t="s">
        <v>59</v>
      </c>
      <c r="R558" s="3" t="s">
        <v>59</v>
      </c>
      <c r="S558" s="3" t="s">
        <v>59</v>
      </c>
      <c r="T558" s="3" t="s">
        <v>59</v>
      </c>
      <c r="U558" s="3" t="s">
        <v>59</v>
      </c>
      <c r="V558" s="3" t="s">
        <v>59</v>
      </c>
      <c r="W558" s="3" t="s">
        <v>59</v>
      </c>
      <c r="X558" s="3" t="s">
        <v>59</v>
      </c>
      <c r="Y558" s="3" t="s">
        <v>59</v>
      </c>
    </row>
    <row r="559" spans="1:25" hidden="1" x14ac:dyDescent="0.3">
      <c r="A559">
        <v>524</v>
      </c>
      <c r="B559" t="s">
        <v>1054</v>
      </c>
      <c r="C559" t="s">
        <v>26</v>
      </c>
      <c r="D559" t="s">
        <v>751</v>
      </c>
      <c r="E559" t="s">
        <v>28</v>
      </c>
      <c r="F559" t="s">
        <v>29</v>
      </c>
      <c r="G559" t="s">
        <v>30</v>
      </c>
      <c r="H559" t="s">
        <v>153</v>
      </c>
      <c r="I559">
        <v>100</v>
      </c>
      <c r="J559" t="s">
        <v>1055</v>
      </c>
      <c r="K559" t="s">
        <v>155</v>
      </c>
      <c r="L559" t="s">
        <v>1058</v>
      </c>
      <c r="M559" t="s">
        <v>1059</v>
      </c>
      <c r="N559" s="3">
        <v>128.36000000000001</v>
      </c>
      <c r="O559" s="3">
        <v>112.95</v>
      </c>
      <c r="P559" s="3" t="s">
        <v>59</v>
      </c>
      <c r="Q559" s="3" t="s">
        <v>59</v>
      </c>
      <c r="R559" s="3" t="s">
        <v>59</v>
      </c>
      <c r="S559" s="3" t="s">
        <v>59</v>
      </c>
      <c r="T559" s="3" t="s">
        <v>59</v>
      </c>
      <c r="U559" s="3" t="s">
        <v>59</v>
      </c>
      <c r="V559" s="3" t="s">
        <v>59</v>
      </c>
      <c r="W559" s="3" t="s">
        <v>59</v>
      </c>
      <c r="X559" s="3" t="s">
        <v>59</v>
      </c>
      <c r="Y559" s="3" t="s">
        <v>59</v>
      </c>
    </row>
    <row r="560" spans="1:25" hidden="1" x14ac:dyDescent="0.3">
      <c r="A560">
        <v>524</v>
      </c>
      <c r="B560" t="s">
        <v>1054</v>
      </c>
      <c r="C560" t="s">
        <v>26</v>
      </c>
      <c r="D560" t="s">
        <v>751</v>
      </c>
      <c r="E560" t="s">
        <v>28</v>
      </c>
      <c r="F560" t="s">
        <v>29</v>
      </c>
      <c r="G560" t="s">
        <v>30</v>
      </c>
      <c r="H560" t="s">
        <v>153</v>
      </c>
      <c r="I560">
        <v>100</v>
      </c>
      <c r="J560" t="s">
        <v>1055</v>
      </c>
      <c r="K560" t="s">
        <v>155</v>
      </c>
      <c r="L560" t="s">
        <v>1060</v>
      </c>
      <c r="M560" t="s">
        <v>1061</v>
      </c>
      <c r="N560" s="3">
        <v>69.75</v>
      </c>
      <c r="O560" s="3">
        <v>178.12</v>
      </c>
      <c r="P560" s="3" t="s">
        <v>59</v>
      </c>
      <c r="Q560" s="3" t="s">
        <v>59</v>
      </c>
      <c r="R560" s="3" t="s">
        <v>59</v>
      </c>
      <c r="S560" s="3" t="s">
        <v>59</v>
      </c>
      <c r="T560" s="3" t="s">
        <v>59</v>
      </c>
      <c r="U560" s="3" t="s">
        <v>59</v>
      </c>
      <c r="V560" s="3" t="s">
        <v>59</v>
      </c>
      <c r="W560" s="3" t="s">
        <v>59</v>
      </c>
      <c r="X560" s="3" t="s">
        <v>59</v>
      </c>
      <c r="Y560" s="3" t="s">
        <v>59</v>
      </c>
    </row>
    <row r="561" spans="1:25" hidden="1" x14ac:dyDescent="0.3">
      <c r="A561">
        <v>524</v>
      </c>
      <c r="B561" t="s">
        <v>1054</v>
      </c>
      <c r="C561" t="s">
        <v>26</v>
      </c>
      <c r="D561" t="s">
        <v>751</v>
      </c>
      <c r="E561" t="s">
        <v>28</v>
      </c>
      <c r="F561" t="s">
        <v>29</v>
      </c>
      <c r="G561" t="s">
        <v>30</v>
      </c>
      <c r="H561" t="s">
        <v>153</v>
      </c>
      <c r="I561">
        <v>100</v>
      </c>
      <c r="J561" t="s">
        <v>1055</v>
      </c>
      <c r="K561" t="s">
        <v>155</v>
      </c>
      <c r="L561" t="s">
        <v>1062</v>
      </c>
      <c r="M561" t="s">
        <v>1063</v>
      </c>
      <c r="N561" s="3">
        <v>116.23</v>
      </c>
      <c r="O561" s="3">
        <v>104.61</v>
      </c>
      <c r="P561" s="3" t="s">
        <v>59</v>
      </c>
      <c r="Q561" s="3" t="s">
        <v>59</v>
      </c>
      <c r="R561" s="3" t="s">
        <v>59</v>
      </c>
      <c r="S561" s="3" t="s">
        <v>59</v>
      </c>
      <c r="T561" s="3" t="s">
        <v>59</v>
      </c>
      <c r="U561" s="3" t="s">
        <v>59</v>
      </c>
      <c r="V561" s="3" t="s">
        <v>59</v>
      </c>
      <c r="W561" s="3" t="s">
        <v>59</v>
      </c>
      <c r="X561" s="3" t="s">
        <v>59</v>
      </c>
      <c r="Y561" s="3" t="s">
        <v>59</v>
      </c>
    </row>
    <row r="562" spans="1:25" hidden="1" x14ac:dyDescent="0.3">
      <c r="A562">
        <v>524</v>
      </c>
      <c r="B562" t="s">
        <v>1054</v>
      </c>
      <c r="C562" t="s">
        <v>26</v>
      </c>
      <c r="D562" t="s">
        <v>751</v>
      </c>
      <c r="E562" t="s">
        <v>28</v>
      </c>
      <c r="F562" t="s">
        <v>29</v>
      </c>
      <c r="G562" t="s">
        <v>30</v>
      </c>
      <c r="H562" t="s">
        <v>153</v>
      </c>
      <c r="I562">
        <v>100</v>
      </c>
      <c r="J562" t="s">
        <v>1055</v>
      </c>
      <c r="K562" t="s">
        <v>155</v>
      </c>
      <c r="L562" t="s">
        <v>1064</v>
      </c>
      <c r="M562" t="s">
        <v>1065</v>
      </c>
      <c r="N562" s="3">
        <v>125.86</v>
      </c>
      <c r="O562" s="3">
        <v>74.31</v>
      </c>
      <c r="P562" s="3" t="s">
        <v>59</v>
      </c>
      <c r="Q562" s="3" t="s">
        <v>59</v>
      </c>
      <c r="R562" s="3" t="s">
        <v>59</v>
      </c>
      <c r="S562" s="3" t="s">
        <v>59</v>
      </c>
      <c r="T562" s="3" t="s">
        <v>59</v>
      </c>
      <c r="U562" s="3" t="s">
        <v>59</v>
      </c>
      <c r="V562" s="3" t="s">
        <v>59</v>
      </c>
      <c r="W562" s="3" t="s">
        <v>59</v>
      </c>
      <c r="X562" s="3" t="s">
        <v>59</v>
      </c>
      <c r="Y562" s="3" t="s">
        <v>59</v>
      </c>
    </row>
    <row r="563" spans="1:25" hidden="1" x14ac:dyDescent="0.3">
      <c r="A563">
        <v>524</v>
      </c>
      <c r="B563" t="s">
        <v>1054</v>
      </c>
      <c r="C563" t="s">
        <v>26</v>
      </c>
      <c r="D563" t="s">
        <v>751</v>
      </c>
      <c r="E563" t="s">
        <v>28</v>
      </c>
      <c r="F563" t="s">
        <v>29</v>
      </c>
      <c r="G563" t="s">
        <v>30</v>
      </c>
      <c r="H563" t="s">
        <v>153</v>
      </c>
      <c r="I563">
        <v>100</v>
      </c>
      <c r="J563" t="s">
        <v>1055</v>
      </c>
      <c r="K563" t="s">
        <v>155</v>
      </c>
      <c r="L563" t="s">
        <v>1066</v>
      </c>
      <c r="M563" t="s">
        <v>1067</v>
      </c>
      <c r="N563" s="3">
        <v>236.59</v>
      </c>
      <c r="O563" s="3">
        <v>221.38</v>
      </c>
      <c r="P563" s="3" t="s">
        <v>59</v>
      </c>
      <c r="Q563" s="3" t="s">
        <v>59</v>
      </c>
      <c r="R563" s="3" t="s">
        <v>59</v>
      </c>
      <c r="S563" s="3" t="s">
        <v>59</v>
      </c>
      <c r="T563" s="3" t="s">
        <v>59</v>
      </c>
      <c r="U563" s="3" t="s">
        <v>59</v>
      </c>
      <c r="V563" s="3" t="s">
        <v>59</v>
      </c>
      <c r="W563" s="3" t="s">
        <v>59</v>
      </c>
      <c r="X563" s="3" t="s">
        <v>59</v>
      </c>
      <c r="Y563" s="3" t="s">
        <v>59</v>
      </c>
    </row>
    <row r="564" spans="1:25" hidden="1" x14ac:dyDescent="0.3">
      <c r="A564" s="1">
        <v>530</v>
      </c>
      <c r="B564" s="1" t="s">
        <v>1076</v>
      </c>
      <c r="C564" s="1" t="s">
        <v>47</v>
      </c>
      <c r="D564" s="1" t="s">
        <v>48</v>
      </c>
      <c r="E564" s="1" t="s">
        <v>28</v>
      </c>
      <c r="F564" s="1" t="s">
        <v>29</v>
      </c>
      <c r="G564" s="1" t="s">
        <v>30</v>
      </c>
      <c r="H564" s="1" t="s">
        <v>31</v>
      </c>
      <c r="I564" s="1">
        <v>90</v>
      </c>
      <c r="J564" s="1" t="s">
        <v>1077</v>
      </c>
      <c r="K564" s="1" t="s">
        <v>33</v>
      </c>
      <c r="L564" s="1" t="s">
        <v>33</v>
      </c>
      <c r="M564" s="1" t="s">
        <v>34</v>
      </c>
      <c r="N564" s="6">
        <v>85.56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hidden="1" x14ac:dyDescent="0.3">
      <c r="A565" s="1">
        <v>531</v>
      </c>
      <c r="B565" s="1" t="s">
        <v>1078</v>
      </c>
      <c r="C565" s="1" t="s">
        <v>47</v>
      </c>
      <c r="D565" s="1" t="s">
        <v>48</v>
      </c>
      <c r="E565" s="1" t="s">
        <v>40</v>
      </c>
      <c r="F565" s="1" t="s">
        <v>29</v>
      </c>
      <c r="G565" s="1" t="s">
        <v>30</v>
      </c>
      <c r="H565" s="1" t="s">
        <v>31</v>
      </c>
      <c r="I565" s="1">
        <v>90</v>
      </c>
      <c r="J565" s="1" t="s">
        <v>1079</v>
      </c>
      <c r="K565" s="1" t="s">
        <v>33</v>
      </c>
      <c r="L565" s="1" t="s">
        <v>33</v>
      </c>
      <c r="M565" s="1" t="s">
        <v>34</v>
      </c>
      <c r="N565" s="4">
        <v>93.94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hidden="1" x14ac:dyDescent="0.3">
      <c r="A566" s="1">
        <v>532</v>
      </c>
      <c r="B566" s="1" t="s">
        <v>1080</v>
      </c>
      <c r="C566" s="1" t="s">
        <v>47</v>
      </c>
      <c r="D566" s="1" t="s">
        <v>112</v>
      </c>
      <c r="E566" s="1" t="s">
        <v>40</v>
      </c>
      <c r="F566" s="1" t="s">
        <v>29</v>
      </c>
      <c r="G566" s="1" t="s">
        <v>30</v>
      </c>
      <c r="H566" s="1" t="s">
        <v>153</v>
      </c>
      <c r="I566" s="1">
        <v>100</v>
      </c>
      <c r="J566" s="1" t="s">
        <v>1081</v>
      </c>
      <c r="K566" s="1" t="s">
        <v>155</v>
      </c>
      <c r="L566" s="1" t="s">
        <v>34</v>
      </c>
      <c r="M566" s="1" t="s">
        <v>34</v>
      </c>
      <c r="N566" s="5">
        <v>134.78</v>
      </c>
      <c r="O566" s="5">
        <v>133.15</v>
      </c>
      <c r="P566" s="3"/>
      <c r="Q566" s="3"/>
      <c r="R566" s="3"/>
      <c r="S566" s="3"/>
      <c r="T566" s="3" t="s">
        <v>59</v>
      </c>
      <c r="U566" s="3" t="s">
        <v>59</v>
      </c>
      <c r="V566" s="3" t="s">
        <v>59</v>
      </c>
      <c r="W566" s="3" t="s">
        <v>59</v>
      </c>
      <c r="X566" s="3" t="s">
        <v>59</v>
      </c>
      <c r="Y566" s="3" t="s">
        <v>59</v>
      </c>
    </row>
    <row r="567" spans="1:25" hidden="1" x14ac:dyDescent="0.3">
      <c r="A567">
        <v>532</v>
      </c>
      <c r="B567" t="s">
        <v>1080</v>
      </c>
      <c r="C567" t="s">
        <v>47</v>
      </c>
      <c r="D567" t="s">
        <v>112</v>
      </c>
      <c r="E567" t="s">
        <v>40</v>
      </c>
      <c r="F567" t="s">
        <v>29</v>
      </c>
      <c r="G567" t="s">
        <v>30</v>
      </c>
      <c r="H567" t="s">
        <v>153</v>
      </c>
      <c r="I567">
        <v>100</v>
      </c>
      <c r="J567" t="s">
        <v>1081</v>
      </c>
      <c r="K567" t="s">
        <v>155</v>
      </c>
      <c r="L567" t="s">
        <v>1082</v>
      </c>
      <c r="M567" t="s">
        <v>1083</v>
      </c>
      <c r="N567" s="3">
        <v>233.33</v>
      </c>
      <c r="O567" s="3">
        <v>132</v>
      </c>
      <c r="P567" s="3" t="s">
        <v>59</v>
      </c>
      <c r="Q567" s="3" t="s">
        <v>59</v>
      </c>
      <c r="R567" s="3" t="s">
        <v>59</v>
      </c>
      <c r="S567" s="3" t="s">
        <v>59</v>
      </c>
      <c r="T567" s="3" t="s">
        <v>59</v>
      </c>
      <c r="U567" s="3" t="s">
        <v>59</v>
      </c>
      <c r="V567" s="3" t="s">
        <v>59</v>
      </c>
      <c r="W567" s="3" t="s">
        <v>59</v>
      </c>
      <c r="X567" s="3" t="s">
        <v>59</v>
      </c>
      <c r="Y567" s="3" t="s">
        <v>59</v>
      </c>
    </row>
    <row r="568" spans="1:25" hidden="1" x14ac:dyDescent="0.3">
      <c r="A568">
        <v>532</v>
      </c>
      <c r="B568" t="s">
        <v>1080</v>
      </c>
      <c r="C568" t="s">
        <v>47</v>
      </c>
      <c r="D568" t="s">
        <v>112</v>
      </c>
      <c r="E568" t="s">
        <v>40</v>
      </c>
      <c r="F568" t="s">
        <v>29</v>
      </c>
      <c r="G568" t="s">
        <v>30</v>
      </c>
      <c r="H568" t="s">
        <v>153</v>
      </c>
      <c r="I568">
        <v>100</v>
      </c>
      <c r="J568" t="s">
        <v>1081</v>
      </c>
      <c r="K568" t="s">
        <v>155</v>
      </c>
      <c r="L568" t="s">
        <v>1084</v>
      </c>
      <c r="M568" t="s">
        <v>1085</v>
      </c>
      <c r="N568" s="3">
        <v>109</v>
      </c>
      <c r="O568" s="3">
        <v>136</v>
      </c>
      <c r="P568" s="3" t="s">
        <v>59</v>
      </c>
      <c r="Q568" s="3" t="s">
        <v>59</v>
      </c>
      <c r="R568" s="3" t="s">
        <v>59</v>
      </c>
      <c r="S568" s="3" t="s">
        <v>59</v>
      </c>
      <c r="T568" s="3" t="s">
        <v>59</v>
      </c>
      <c r="U568" s="3" t="s">
        <v>59</v>
      </c>
      <c r="V568" s="3" t="s">
        <v>59</v>
      </c>
      <c r="W568" s="3" t="s">
        <v>59</v>
      </c>
      <c r="X568" s="3" t="s">
        <v>59</v>
      </c>
      <c r="Y568" s="3" t="s">
        <v>59</v>
      </c>
    </row>
    <row r="569" spans="1:25" hidden="1" x14ac:dyDescent="0.3">
      <c r="A569">
        <v>532</v>
      </c>
      <c r="B569" t="s">
        <v>1080</v>
      </c>
      <c r="C569" t="s">
        <v>47</v>
      </c>
      <c r="D569" t="s">
        <v>112</v>
      </c>
      <c r="E569" t="s">
        <v>40</v>
      </c>
      <c r="F569" t="s">
        <v>29</v>
      </c>
      <c r="G569" t="s">
        <v>30</v>
      </c>
      <c r="H569" t="s">
        <v>153</v>
      </c>
      <c r="I569">
        <v>100</v>
      </c>
      <c r="J569" t="s">
        <v>1081</v>
      </c>
      <c r="K569" t="s">
        <v>155</v>
      </c>
      <c r="L569" t="s">
        <v>1086</v>
      </c>
      <c r="M569" t="s">
        <v>1087</v>
      </c>
      <c r="N569" s="3">
        <v>150</v>
      </c>
      <c r="O569" s="3">
        <v>100</v>
      </c>
      <c r="P569" s="3" t="s">
        <v>59</v>
      </c>
      <c r="Q569" s="3" t="s">
        <v>59</v>
      </c>
      <c r="R569" s="3" t="s">
        <v>59</v>
      </c>
      <c r="S569" s="3" t="s">
        <v>59</v>
      </c>
      <c r="T569" s="3" t="s">
        <v>59</v>
      </c>
      <c r="U569" s="3" t="s">
        <v>59</v>
      </c>
      <c r="V569" s="3" t="s">
        <v>59</v>
      </c>
      <c r="W569" s="3" t="s">
        <v>59</v>
      </c>
      <c r="X569" s="3" t="s">
        <v>59</v>
      </c>
      <c r="Y569" s="3" t="s">
        <v>59</v>
      </c>
    </row>
    <row r="570" spans="1:25" hidden="1" x14ac:dyDescent="0.3">
      <c r="A570">
        <v>532</v>
      </c>
      <c r="B570" t="s">
        <v>1080</v>
      </c>
      <c r="C570" t="s">
        <v>47</v>
      </c>
      <c r="D570" t="s">
        <v>112</v>
      </c>
      <c r="E570" t="s">
        <v>40</v>
      </c>
      <c r="F570" t="s">
        <v>29</v>
      </c>
      <c r="G570" t="s">
        <v>30</v>
      </c>
      <c r="H570" t="s">
        <v>153</v>
      </c>
      <c r="I570">
        <v>100</v>
      </c>
      <c r="J570" t="s">
        <v>1081</v>
      </c>
      <c r="K570" t="s">
        <v>155</v>
      </c>
      <c r="L570" t="s">
        <v>1088</v>
      </c>
      <c r="M570" t="s">
        <v>1089</v>
      </c>
      <c r="N570" s="3">
        <v>116</v>
      </c>
      <c r="O570" s="3">
        <v>132</v>
      </c>
      <c r="P570" s="3" t="s">
        <v>59</v>
      </c>
      <c r="Q570" s="3" t="s">
        <v>59</v>
      </c>
      <c r="R570" s="3" t="s">
        <v>59</v>
      </c>
      <c r="S570" s="3" t="s">
        <v>59</v>
      </c>
      <c r="T570" s="3" t="s">
        <v>59</v>
      </c>
      <c r="U570" s="3" t="s">
        <v>59</v>
      </c>
      <c r="V570" s="3" t="s">
        <v>59</v>
      </c>
      <c r="W570" s="3" t="s">
        <v>59</v>
      </c>
      <c r="X570" s="3" t="s">
        <v>59</v>
      </c>
      <c r="Y570" s="3" t="s">
        <v>59</v>
      </c>
    </row>
    <row r="571" spans="1:25" hidden="1" x14ac:dyDescent="0.3">
      <c r="A571" s="1">
        <v>533</v>
      </c>
      <c r="B571" s="1" t="s">
        <v>1090</v>
      </c>
      <c r="C571" s="1" t="s">
        <v>47</v>
      </c>
      <c r="D571" s="1" t="s">
        <v>112</v>
      </c>
      <c r="E571" s="1" t="s">
        <v>28</v>
      </c>
      <c r="F571" s="1" t="s">
        <v>29</v>
      </c>
      <c r="G571" s="1" t="s">
        <v>30</v>
      </c>
      <c r="H571" s="1" t="s">
        <v>153</v>
      </c>
      <c r="I571" s="1">
        <v>100</v>
      </c>
      <c r="J571" s="1" t="s">
        <v>1091</v>
      </c>
      <c r="K571" s="1" t="s">
        <v>155</v>
      </c>
      <c r="L571" s="1" t="s">
        <v>34</v>
      </c>
      <c r="M571" s="1" t="s">
        <v>34</v>
      </c>
      <c r="N571" s="5">
        <v>177.95</v>
      </c>
      <c r="O571" s="5">
        <v>124.89</v>
      </c>
      <c r="P571" s="3" t="s">
        <v>59</v>
      </c>
      <c r="Q571" s="3" t="s">
        <v>59</v>
      </c>
      <c r="R571" s="3" t="s">
        <v>59</v>
      </c>
      <c r="S571" s="3" t="s">
        <v>59</v>
      </c>
      <c r="T571" s="3" t="s">
        <v>59</v>
      </c>
      <c r="U571" s="3" t="s">
        <v>59</v>
      </c>
      <c r="V571" s="3" t="s">
        <v>59</v>
      </c>
      <c r="W571" s="3" t="s">
        <v>59</v>
      </c>
      <c r="X571" s="3" t="s">
        <v>59</v>
      </c>
      <c r="Y571" s="3" t="s">
        <v>59</v>
      </c>
    </row>
    <row r="572" spans="1:25" hidden="1" x14ac:dyDescent="0.3">
      <c r="A572">
        <v>533</v>
      </c>
      <c r="B572" t="s">
        <v>1090</v>
      </c>
      <c r="C572" t="s">
        <v>47</v>
      </c>
      <c r="D572" t="s">
        <v>112</v>
      </c>
      <c r="E572" t="s">
        <v>28</v>
      </c>
      <c r="F572" t="s">
        <v>29</v>
      </c>
      <c r="G572" t="s">
        <v>30</v>
      </c>
      <c r="H572" t="s">
        <v>153</v>
      </c>
      <c r="I572">
        <v>100</v>
      </c>
      <c r="J572" t="s">
        <v>1091</v>
      </c>
      <c r="K572" t="s">
        <v>155</v>
      </c>
      <c r="L572" t="s">
        <v>1092</v>
      </c>
      <c r="M572" t="s">
        <v>1093</v>
      </c>
      <c r="N572" s="3">
        <v>246.25</v>
      </c>
      <c r="O572" s="3">
        <v>103.75</v>
      </c>
      <c r="P572" s="3" t="s">
        <v>59</v>
      </c>
      <c r="Q572" s="3" t="s">
        <v>59</v>
      </c>
      <c r="R572" s="3" t="s">
        <v>59</v>
      </c>
      <c r="S572" s="3" t="s">
        <v>59</v>
      </c>
      <c r="T572" s="3" t="s">
        <v>59</v>
      </c>
      <c r="U572" s="3" t="s">
        <v>59</v>
      </c>
      <c r="V572" s="3" t="s">
        <v>59</v>
      </c>
      <c r="W572" s="3" t="s">
        <v>59</v>
      </c>
      <c r="X572" s="3" t="s">
        <v>59</v>
      </c>
      <c r="Y572" s="3" t="s">
        <v>59</v>
      </c>
    </row>
    <row r="573" spans="1:25" hidden="1" x14ac:dyDescent="0.3">
      <c r="A573">
        <v>533</v>
      </c>
      <c r="B573" t="s">
        <v>1090</v>
      </c>
      <c r="C573" t="s">
        <v>47</v>
      </c>
      <c r="D573" t="s">
        <v>112</v>
      </c>
      <c r="E573" t="s">
        <v>28</v>
      </c>
      <c r="F573" t="s">
        <v>29</v>
      </c>
      <c r="G573" t="s">
        <v>30</v>
      </c>
      <c r="H573" t="s">
        <v>153</v>
      </c>
      <c r="I573">
        <v>100</v>
      </c>
      <c r="J573" t="s">
        <v>1091</v>
      </c>
      <c r="K573" t="s">
        <v>155</v>
      </c>
      <c r="L573" t="s">
        <v>1094</v>
      </c>
      <c r="M573" t="s">
        <v>1095</v>
      </c>
      <c r="N573" s="3">
        <v>171.13</v>
      </c>
      <c r="O573" s="3">
        <v>127</v>
      </c>
      <c r="P573" s="3" t="s">
        <v>59</v>
      </c>
      <c r="Q573" s="3" t="s">
        <v>59</v>
      </c>
      <c r="R573" s="3" t="s">
        <v>59</v>
      </c>
      <c r="S573" s="3" t="s">
        <v>59</v>
      </c>
      <c r="T573" s="3" t="s">
        <v>59</v>
      </c>
      <c r="U573" s="3" t="s">
        <v>59</v>
      </c>
      <c r="V573" s="3" t="s">
        <v>59</v>
      </c>
      <c r="W573" s="3" t="s">
        <v>59</v>
      </c>
      <c r="X573" s="3" t="s">
        <v>59</v>
      </c>
      <c r="Y573" s="3" t="s">
        <v>59</v>
      </c>
    </row>
    <row r="574" spans="1:25" hidden="1" x14ac:dyDescent="0.3">
      <c r="A574" s="1">
        <v>534</v>
      </c>
      <c r="B574" s="1" t="s">
        <v>1096</v>
      </c>
      <c r="C574" s="1" t="s">
        <v>47</v>
      </c>
      <c r="D574" s="1" t="s">
        <v>112</v>
      </c>
      <c r="E574" s="1" t="s">
        <v>28</v>
      </c>
      <c r="F574" s="1" t="s">
        <v>29</v>
      </c>
      <c r="G574" s="1" t="s">
        <v>30</v>
      </c>
      <c r="H574" s="1" t="s">
        <v>153</v>
      </c>
      <c r="I574" s="1">
        <v>100</v>
      </c>
      <c r="J574" s="1" t="s">
        <v>1097</v>
      </c>
      <c r="K574" s="1" t="s">
        <v>155</v>
      </c>
      <c r="L574" s="1" t="s">
        <v>34</v>
      </c>
      <c r="M574" s="1" t="s">
        <v>34</v>
      </c>
      <c r="N574" s="5">
        <v>134.53</v>
      </c>
      <c r="O574" s="5">
        <v>134.09</v>
      </c>
      <c r="P574" s="3" t="s">
        <v>59</v>
      </c>
      <c r="Q574" s="3" t="s">
        <v>59</v>
      </c>
      <c r="R574" s="3" t="s">
        <v>59</v>
      </c>
      <c r="S574" s="3" t="s">
        <v>59</v>
      </c>
      <c r="T574" s="3" t="s">
        <v>59</v>
      </c>
      <c r="U574" s="3" t="s">
        <v>59</v>
      </c>
      <c r="V574" s="3" t="s">
        <v>59</v>
      </c>
      <c r="W574" s="3" t="s">
        <v>59</v>
      </c>
      <c r="X574" s="3" t="s">
        <v>59</v>
      </c>
      <c r="Y574" s="3" t="s">
        <v>59</v>
      </c>
    </row>
    <row r="575" spans="1:25" hidden="1" x14ac:dyDescent="0.3">
      <c r="A575">
        <v>534</v>
      </c>
      <c r="B575" t="s">
        <v>1096</v>
      </c>
      <c r="C575" t="s">
        <v>47</v>
      </c>
      <c r="D575" t="s">
        <v>112</v>
      </c>
      <c r="E575" t="s">
        <v>28</v>
      </c>
      <c r="F575" t="s">
        <v>29</v>
      </c>
      <c r="G575" t="s">
        <v>30</v>
      </c>
      <c r="H575" t="s">
        <v>153</v>
      </c>
      <c r="I575">
        <v>100</v>
      </c>
      <c r="J575" t="s">
        <v>1097</v>
      </c>
      <c r="K575" t="s">
        <v>155</v>
      </c>
      <c r="L575" t="s">
        <v>1098</v>
      </c>
      <c r="M575" t="s">
        <v>1099</v>
      </c>
      <c r="N575" s="3">
        <v>165.29</v>
      </c>
      <c r="O575" s="3">
        <v>103</v>
      </c>
      <c r="P575" s="3" t="s">
        <v>59</v>
      </c>
      <c r="Q575" s="3" t="s">
        <v>59</v>
      </c>
      <c r="R575" s="3" t="s">
        <v>59</v>
      </c>
      <c r="S575" s="3" t="s">
        <v>59</v>
      </c>
      <c r="T575" s="3" t="s">
        <v>59</v>
      </c>
      <c r="U575" s="3" t="s">
        <v>59</v>
      </c>
      <c r="V575" s="3" t="s">
        <v>59</v>
      </c>
      <c r="W575" s="3" t="s">
        <v>59</v>
      </c>
      <c r="X575" s="3" t="s">
        <v>59</v>
      </c>
      <c r="Y575" s="3" t="s">
        <v>59</v>
      </c>
    </row>
    <row r="576" spans="1:25" hidden="1" x14ac:dyDescent="0.3">
      <c r="A576">
        <v>534</v>
      </c>
      <c r="B576" t="s">
        <v>1096</v>
      </c>
      <c r="C576" t="s">
        <v>47</v>
      </c>
      <c r="D576" t="s">
        <v>112</v>
      </c>
      <c r="E576" t="s">
        <v>28</v>
      </c>
      <c r="F576" t="s">
        <v>29</v>
      </c>
      <c r="G576" t="s">
        <v>30</v>
      </c>
      <c r="H576" t="s">
        <v>153</v>
      </c>
      <c r="I576">
        <v>100</v>
      </c>
      <c r="J576" t="s">
        <v>1097</v>
      </c>
      <c r="K576" t="s">
        <v>155</v>
      </c>
      <c r="L576" t="s">
        <v>1100</v>
      </c>
      <c r="M576" t="s">
        <v>1101</v>
      </c>
      <c r="N576" s="3">
        <v>129.30000000000001</v>
      </c>
      <c r="O576" s="3">
        <v>137.19999999999999</v>
      </c>
      <c r="P576" s="3" t="s">
        <v>59</v>
      </c>
      <c r="Q576" s="3" t="s">
        <v>59</v>
      </c>
      <c r="R576" s="3" t="s">
        <v>59</v>
      </c>
      <c r="S576" s="3" t="s">
        <v>59</v>
      </c>
      <c r="T576" s="3" t="s">
        <v>59</v>
      </c>
      <c r="U576" s="3" t="s">
        <v>59</v>
      </c>
      <c r="V576" s="3" t="s">
        <v>59</v>
      </c>
      <c r="W576" s="3" t="s">
        <v>59</v>
      </c>
      <c r="X576" s="3" t="s">
        <v>59</v>
      </c>
      <c r="Y576" s="3" t="s">
        <v>59</v>
      </c>
    </row>
    <row r="577" spans="1:25" hidden="1" x14ac:dyDescent="0.3">
      <c r="A577" s="1">
        <v>535</v>
      </c>
      <c r="B577" s="1" t="s">
        <v>1102</v>
      </c>
      <c r="C577" s="1" t="s">
        <v>47</v>
      </c>
      <c r="D577" s="1" t="s">
        <v>112</v>
      </c>
      <c r="E577" s="1" t="s">
        <v>28</v>
      </c>
      <c r="F577" s="1" t="s">
        <v>29</v>
      </c>
      <c r="G577" s="1" t="s">
        <v>30</v>
      </c>
      <c r="H577" s="1" t="s">
        <v>153</v>
      </c>
      <c r="I577" s="1">
        <v>100</v>
      </c>
      <c r="J577" s="1" t="s">
        <v>1103</v>
      </c>
      <c r="K577" s="1" t="s">
        <v>155</v>
      </c>
      <c r="L577" s="1" t="s">
        <v>34</v>
      </c>
      <c r="M577" s="1" t="s">
        <v>34</v>
      </c>
      <c r="N577" s="5">
        <v>209.63</v>
      </c>
      <c r="O577" s="5">
        <v>132.66999999999999</v>
      </c>
      <c r="P577" s="3" t="s">
        <v>59</v>
      </c>
      <c r="Q577" s="3" t="s">
        <v>59</v>
      </c>
      <c r="R577" s="3" t="s">
        <v>59</v>
      </c>
      <c r="S577" s="3" t="s">
        <v>59</v>
      </c>
      <c r="T577" s="3" t="s">
        <v>59</v>
      </c>
      <c r="U577" s="3" t="s">
        <v>59</v>
      </c>
      <c r="V577" s="3" t="s">
        <v>59</v>
      </c>
      <c r="W577" s="3" t="s">
        <v>59</v>
      </c>
      <c r="X577" s="3" t="s">
        <v>59</v>
      </c>
      <c r="Y577" s="3" t="s">
        <v>59</v>
      </c>
    </row>
    <row r="578" spans="1:25" hidden="1" x14ac:dyDescent="0.3">
      <c r="A578">
        <v>535</v>
      </c>
      <c r="B578" t="s">
        <v>1102</v>
      </c>
      <c r="C578" t="s">
        <v>47</v>
      </c>
      <c r="D578" t="s">
        <v>112</v>
      </c>
      <c r="E578" t="s">
        <v>28</v>
      </c>
      <c r="F578" t="s">
        <v>29</v>
      </c>
      <c r="G578" t="s">
        <v>30</v>
      </c>
      <c r="H578" t="s">
        <v>153</v>
      </c>
      <c r="I578">
        <v>100</v>
      </c>
      <c r="J578" t="s">
        <v>1103</v>
      </c>
      <c r="K578" t="s">
        <v>155</v>
      </c>
      <c r="L578" t="s">
        <v>1104</v>
      </c>
      <c r="M578" t="s">
        <v>1105</v>
      </c>
      <c r="N578" s="3">
        <v>154.55000000000001</v>
      </c>
      <c r="O578" s="3">
        <v>111.43</v>
      </c>
      <c r="P578" s="3" t="s">
        <v>59</v>
      </c>
      <c r="Q578" s="3" t="s">
        <v>59</v>
      </c>
      <c r="R578" s="3" t="s">
        <v>59</v>
      </c>
      <c r="S578" s="3" t="s">
        <v>59</v>
      </c>
      <c r="T578" s="3" t="s">
        <v>59</v>
      </c>
      <c r="U578" s="3" t="s">
        <v>59</v>
      </c>
      <c r="V578" s="3" t="s">
        <v>59</v>
      </c>
      <c r="W578" s="3" t="s">
        <v>59</v>
      </c>
      <c r="X578" s="3" t="s">
        <v>59</v>
      </c>
      <c r="Y578" s="3" t="s">
        <v>59</v>
      </c>
    </row>
    <row r="579" spans="1:25" hidden="1" x14ac:dyDescent="0.3">
      <c r="A579">
        <v>535</v>
      </c>
      <c r="B579" t="s">
        <v>1102</v>
      </c>
      <c r="C579" t="s">
        <v>47</v>
      </c>
      <c r="D579" t="s">
        <v>112</v>
      </c>
      <c r="E579" t="s">
        <v>28</v>
      </c>
      <c r="F579" t="s">
        <v>29</v>
      </c>
      <c r="G579" t="s">
        <v>30</v>
      </c>
      <c r="H579" t="s">
        <v>153</v>
      </c>
      <c r="I579">
        <v>100</v>
      </c>
      <c r="J579" t="s">
        <v>1103</v>
      </c>
      <c r="K579" t="s">
        <v>155</v>
      </c>
      <c r="L579" t="s">
        <v>1106</v>
      </c>
      <c r="M579" t="s">
        <v>1107</v>
      </c>
      <c r="N579" s="3">
        <v>247.5</v>
      </c>
      <c r="O579" s="3">
        <v>151.25</v>
      </c>
      <c r="P579" s="3" t="s">
        <v>59</v>
      </c>
      <c r="Q579" s="3" t="s">
        <v>59</v>
      </c>
      <c r="R579" s="3" t="s">
        <v>59</v>
      </c>
      <c r="S579" s="3" t="s">
        <v>59</v>
      </c>
      <c r="T579" s="3" t="s">
        <v>59</v>
      </c>
      <c r="U579" s="3" t="s">
        <v>59</v>
      </c>
      <c r="V579" s="3" t="s">
        <v>59</v>
      </c>
      <c r="W579" s="3" t="s">
        <v>59</v>
      </c>
      <c r="X579" s="3" t="s">
        <v>59</v>
      </c>
      <c r="Y579" s="3" t="s">
        <v>59</v>
      </c>
    </row>
    <row r="580" spans="1:25" hidden="1" x14ac:dyDescent="0.3">
      <c r="A580" s="1">
        <v>536</v>
      </c>
      <c r="B580" s="1" t="s">
        <v>1108</v>
      </c>
      <c r="C580" s="1" t="s">
        <v>47</v>
      </c>
      <c r="D580" s="1" t="s">
        <v>112</v>
      </c>
      <c r="E580" s="1" t="s">
        <v>28</v>
      </c>
      <c r="F580" s="1" t="s">
        <v>29</v>
      </c>
      <c r="G580" s="1" t="s">
        <v>30</v>
      </c>
      <c r="H580" s="1" t="s">
        <v>153</v>
      </c>
      <c r="I580" s="1">
        <v>100</v>
      </c>
      <c r="J580" s="1" t="s">
        <v>1109</v>
      </c>
      <c r="K580" s="1" t="s">
        <v>155</v>
      </c>
      <c r="L580" s="1" t="s">
        <v>34</v>
      </c>
      <c r="M580" s="1" t="s">
        <v>34</v>
      </c>
      <c r="N580" s="5">
        <v>260.75</v>
      </c>
      <c r="O580" s="5">
        <v>109.33</v>
      </c>
      <c r="P580" s="3" t="s">
        <v>59</v>
      </c>
      <c r="Q580" s="3" t="s">
        <v>59</v>
      </c>
      <c r="R580" s="3" t="s">
        <v>59</v>
      </c>
      <c r="S580" s="3" t="s">
        <v>59</v>
      </c>
      <c r="T580" s="3" t="s">
        <v>59</v>
      </c>
      <c r="U580" s="3" t="s">
        <v>59</v>
      </c>
      <c r="V580" s="3" t="s">
        <v>59</v>
      </c>
      <c r="W580" s="3" t="s">
        <v>59</v>
      </c>
      <c r="X580" s="3" t="s">
        <v>59</v>
      </c>
      <c r="Y580" s="3" t="s">
        <v>59</v>
      </c>
    </row>
    <row r="581" spans="1:25" hidden="1" x14ac:dyDescent="0.3">
      <c r="A581">
        <v>536</v>
      </c>
      <c r="B581" t="s">
        <v>1108</v>
      </c>
      <c r="C581" t="s">
        <v>47</v>
      </c>
      <c r="D581" t="s">
        <v>112</v>
      </c>
      <c r="E581" t="s">
        <v>28</v>
      </c>
      <c r="F581" t="s">
        <v>29</v>
      </c>
      <c r="G581" t="s">
        <v>30</v>
      </c>
      <c r="H581" t="s">
        <v>153</v>
      </c>
      <c r="I581">
        <v>100</v>
      </c>
      <c r="J581" t="s">
        <v>1109</v>
      </c>
      <c r="K581" t="s">
        <v>155</v>
      </c>
      <c r="L581" t="s">
        <v>1110</v>
      </c>
      <c r="M581" t="s">
        <v>1111</v>
      </c>
      <c r="N581" s="3">
        <v>160</v>
      </c>
      <c r="O581" s="3">
        <v>111.43</v>
      </c>
      <c r="P581" s="3" t="s">
        <v>59</v>
      </c>
      <c r="Q581" s="3" t="s">
        <v>59</v>
      </c>
      <c r="R581" s="3" t="s">
        <v>59</v>
      </c>
      <c r="S581" s="3" t="s">
        <v>59</v>
      </c>
      <c r="T581" s="3" t="s">
        <v>59</v>
      </c>
      <c r="U581" s="3" t="s">
        <v>59</v>
      </c>
      <c r="V581" s="3" t="s">
        <v>59</v>
      </c>
      <c r="W581" s="3" t="s">
        <v>59</v>
      </c>
      <c r="X581" s="3" t="s">
        <v>59</v>
      </c>
      <c r="Y581" s="3" t="s">
        <v>59</v>
      </c>
    </row>
    <row r="582" spans="1:25" hidden="1" x14ac:dyDescent="0.3">
      <c r="A582">
        <v>536</v>
      </c>
      <c r="B582" t="s">
        <v>1108</v>
      </c>
      <c r="C582" t="s">
        <v>47</v>
      </c>
      <c r="D582" t="s">
        <v>112</v>
      </c>
      <c r="E582" t="s">
        <v>28</v>
      </c>
      <c r="F582" t="s">
        <v>29</v>
      </c>
      <c r="G582" t="s">
        <v>30</v>
      </c>
      <c r="H582" t="s">
        <v>153</v>
      </c>
      <c r="I582">
        <v>100</v>
      </c>
      <c r="J582" t="s">
        <v>1109</v>
      </c>
      <c r="K582" t="s">
        <v>155</v>
      </c>
      <c r="L582" t="s">
        <v>1112</v>
      </c>
      <c r="M582" t="s">
        <v>1113</v>
      </c>
      <c r="N582" s="3">
        <v>650</v>
      </c>
      <c r="O582" s="3">
        <v>107.5</v>
      </c>
      <c r="P582" s="3" t="s">
        <v>59</v>
      </c>
      <c r="Q582" s="3" t="s">
        <v>59</v>
      </c>
      <c r="R582" s="3" t="s">
        <v>59</v>
      </c>
      <c r="S582" s="3" t="s">
        <v>59</v>
      </c>
      <c r="T582" s="3" t="s">
        <v>59</v>
      </c>
      <c r="U582" s="3" t="s">
        <v>59</v>
      </c>
      <c r="V582" s="3" t="s">
        <v>59</v>
      </c>
      <c r="W582" s="3" t="s">
        <v>59</v>
      </c>
      <c r="X582" s="3" t="s">
        <v>59</v>
      </c>
      <c r="Y582" s="3" t="s">
        <v>59</v>
      </c>
    </row>
    <row r="583" spans="1:25" hidden="1" x14ac:dyDescent="0.3">
      <c r="A583" s="1">
        <v>537</v>
      </c>
      <c r="B583" s="1" t="s">
        <v>1114</v>
      </c>
      <c r="C583" s="1" t="s">
        <v>47</v>
      </c>
      <c r="D583" s="1" t="s">
        <v>141</v>
      </c>
      <c r="E583" s="1" t="s">
        <v>28</v>
      </c>
      <c r="F583" s="1" t="s">
        <v>29</v>
      </c>
      <c r="G583" s="1" t="s">
        <v>30</v>
      </c>
      <c r="H583" s="1" t="s">
        <v>31</v>
      </c>
      <c r="I583" s="1">
        <v>65</v>
      </c>
      <c r="J583" s="1" t="s">
        <v>1115</v>
      </c>
      <c r="K583" s="1" t="s">
        <v>33</v>
      </c>
      <c r="L583" s="1" t="s">
        <v>33</v>
      </c>
      <c r="M583" s="1" t="s">
        <v>34</v>
      </c>
      <c r="N583" s="6">
        <v>64.3</v>
      </c>
      <c r="O583" s="6">
        <v>58.9</v>
      </c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hidden="1" x14ac:dyDescent="0.3">
      <c r="A584" s="1">
        <v>538</v>
      </c>
      <c r="B584" s="1" t="s">
        <v>1116</v>
      </c>
      <c r="C584" s="1" t="s">
        <v>26</v>
      </c>
      <c r="D584" s="1" t="s">
        <v>295</v>
      </c>
      <c r="E584" s="1" t="s">
        <v>28</v>
      </c>
      <c r="F584" s="1" t="s">
        <v>29</v>
      </c>
      <c r="G584" s="1" t="s">
        <v>30</v>
      </c>
      <c r="H584" s="1" t="s">
        <v>31</v>
      </c>
      <c r="I584" s="1">
        <v>100</v>
      </c>
      <c r="J584" s="1" t="s">
        <v>1117</v>
      </c>
      <c r="K584" s="1" t="s">
        <v>33</v>
      </c>
      <c r="L584" s="1" t="s">
        <v>33</v>
      </c>
      <c r="M584" s="1" t="s">
        <v>34</v>
      </c>
      <c r="N584" s="4">
        <v>100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hidden="1" x14ac:dyDescent="0.3">
      <c r="A585" s="1">
        <v>539</v>
      </c>
      <c r="B585" s="1" t="s">
        <v>1118</v>
      </c>
      <c r="C585" s="1" t="s">
        <v>26</v>
      </c>
      <c r="D585" s="1" t="s">
        <v>295</v>
      </c>
      <c r="E585" s="1" t="s">
        <v>44</v>
      </c>
      <c r="F585" s="1" t="s">
        <v>29</v>
      </c>
      <c r="G585" s="1" t="s">
        <v>41</v>
      </c>
      <c r="H585" s="1" t="s">
        <v>31</v>
      </c>
      <c r="I585" s="1">
        <v>2.5</v>
      </c>
      <c r="J585" s="1" t="s">
        <v>1119</v>
      </c>
      <c r="K585" s="1" t="s">
        <v>33</v>
      </c>
      <c r="L585" s="1" t="s">
        <v>33</v>
      </c>
      <c r="M585" s="1" t="s">
        <v>34</v>
      </c>
      <c r="N585" s="4">
        <v>2.5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hidden="1" x14ac:dyDescent="0.3">
      <c r="A586" s="1">
        <v>540</v>
      </c>
      <c r="B586" s="1" t="s">
        <v>1120</v>
      </c>
      <c r="C586" s="1" t="s">
        <v>47</v>
      </c>
      <c r="D586" s="1" t="s">
        <v>954</v>
      </c>
      <c r="E586" s="1" t="s">
        <v>28</v>
      </c>
      <c r="F586" s="1" t="s">
        <v>29</v>
      </c>
      <c r="G586" s="1" t="s">
        <v>30</v>
      </c>
      <c r="H586" s="1" t="s">
        <v>31</v>
      </c>
      <c r="I586" s="1">
        <v>97</v>
      </c>
      <c r="J586" s="1" t="s">
        <v>1121</v>
      </c>
      <c r="K586" s="1" t="s">
        <v>33</v>
      </c>
      <c r="L586" s="1" t="s">
        <v>33</v>
      </c>
      <c r="M586" s="1" t="s">
        <v>34</v>
      </c>
      <c r="N586" s="4">
        <v>97.9</v>
      </c>
      <c r="O586" s="4">
        <v>97.33</v>
      </c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hidden="1" x14ac:dyDescent="0.3">
      <c r="A587" s="1">
        <v>543</v>
      </c>
      <c r="B587" s="1" t="s">
        <v>1135</v>
      </c>
      <c r="C587" s="1" t="s">
        <v>26</v>
      </c>
      <c r="D587" s="1" t="s">
        <v>134</v>
      </c>
      <c r="E587" s="1" t="s">
        <v>28</v>
      </c>
      <c r="F587" s="1" t="s">
        <v>29</v>
      </c>
      <c r="G587" s="1" t="s">
        <v>30</v>
      </c>
      <c r="H587" s="1" t="s">
        <v>153</v>
      </c>
      <c r="I587" s="1" t="s">
        <v>117</v>
      </c>
      <c r="J587" s="1" t="s">
        <v>1136</v>
      </c>
      <c r="K587" s="1" t="s">
        <v>155</v>
      </c>
      <c r="L587" s="1" t="s">
        <v>34</v>
      </c>
      <c r="M587" s="1" t="s">
        <v>34</v>
      </c>
      <c r="N587" s="3"/>
      <c r="O587" s="8">
        <v>7.29</v>
      </c>
      <c r="P587" s="3" t="s">
        <v>59</v>
      </c>
      <c r="Q587" s="3" t="s">
        <v>59</v>
      </c>
      <c r="R587" s="3" t="s">
        <v>59</v>
      </c>
      <c r="S587" s="3" t="s">
        <v>59</v>
      </c>
      <c r="T587" s="3" t="s">
        <v>59</v>
      </c>
      <c r="U587" s="3" t="s">
        <v>59</v>
      </c>
      <c r="V587" s="3" t="s">
        <v>59</v>
      </c>
      <c r="W587" s="3" t="s">
        <v>59</v>
      </c>
      <c r="X587" s="3" t="s">
        <v>59</v>
      </c>
      <c r="Y587" s="3" t="s">
        <v>59</v>
      </c>
    </row>
    <row r="588" spans="1:25" hidden="1" x14ac:dyDescent="0.3">
      <c r="A588">
        <v>543</v>
      </c>
      <c r="B588" t="s">
        <v>1135</v>
      </c>
      <c r="C588" t="s">
        <v>26</v>
      </c>
      <c r="D588" t="s">
        <v>134</v>
      </c>
      <c r="E588" t="s">
        <v>28</v>
      </c>
      <c r="F588" t="s">
        <v>29</v>
      </c>
      <c r="G588" t="s">
        <v>30</v>
      </c>
      <c r="H588" t="s">
        <v>153</v>
      </c>
      <c r="I588" t="s">
        <v>117</v>
      </c>
      <c r="J588" t="s">
        <v>1136</v>
      </c>
      <c r="K588" t="s">
        <v>155</v>
      </c>
      <c r="L588" t="s">
        <v>1137</v>
      </c>
      <c r="M588" t="s">
        <v>1138</v>
      </c>
      <c r="N588" s="3" t="s">
        <v>59</v>
      </c>
      <c r="O588" s="3">
        <v>7.4</v>
      </c>
      <c r="P588" s="3" t="s">
        <v>59</v>
      </c>
      <c r="Q588" s="3" t="s">
        <v>59</v>
      </c>
      <c r="R588" s="3" t="s">
        <v>59</v>
      </c>
      <c r="S588" s="3" t="s">
        <v>59</v>
      </c>
      <c r="T588" s="3" t="s">
        <v>59</v>
      </c>
      <c r="U588" s="3" t="s">
        <v>59</v>
      </c>
      <c r="V588" s="3" t="s">
        <v>59</v>
      </c>
      <c r="W588" s="3" t="s">
        <v>59</v>
      </c>
      <c r="X588" s="3" t="s">
        <v>59</v>
      </c>
      <c r="Y588" s="3" t="s">
        <v>59</v>
      </c>
    </row>
    <row r="589" spans="1:25" hidden="1" x14ac:dyDescent="0.3">
      <c r="A589">
        <v>543</v>
      </c>
      <c r="B589" t="s">
        <v>1135</v>
      </c>
      <c r="C589" t="s">
        <v>26</v>
      </c>
      <c r="D589" t="s">
        <v>134</v>
      </c>
      <c r="E589" t="s">
        <v>28</v>
      </c>
      <c r="F589" t="s">
        <v>29</v>
      </c>
      <c r="G589" t="s">
        <v>30</v>
      </c>
      <c r="H589" t="s">
        <v>153</v>
      </c>
      <c r="I589" t="s">
        <v>117</v>
      </c>
      <c r="J589" t="s">
        <v>1136</v>
      </c>
      <c r="K589" t="s">
        <v>155</v>
      </c>
      <c r="L589" t="s">
        <v>1139</v>
      </c>
      <c r="M589" t="s">
        <v>1140</v>
      </c>
      <c r="N589" s="3" t="s">
        <v>59</v>
      </c>
      <c r="O589" s="3">
        <v>6.85</v>
      </c>
      <c r="P589" s="3" t="s">
        <v>59</v>
      </c>
      <c r="Q589" s="3" t="s">
        <v>59</v>
      </c>
      <c r="R589" s="3" t="s">
        <v>59</v>
      </c>
      <c r="S589" s="3" t="s">
        <v>59</v>
      </c>
      <c r="T589" s="3" t="s">
        <v>59</v>
      </c>
      <c r="U589" s="3" t="s">
        <v>59</v>
      </c>
      <c r="V589" s="3" t="s">
        <v>59</v>
      </c>
      <c r="W589" s="3" t="s">
        <v>59</v>
      </c>
      <c r="X589" s="3" t="s">
        <v>59</v>
      </c>
      <c r="Y589" s="3" t="s">
        <v>59</v>
      </c>
    </row>
    <row r="590" spans="1:25" hidden="1" x14ac:dyDescent="0.3">
      <c r="A590" s="1">
        <v>544</v>
      </c>
      <c r="B590" s="1" t="s">
        <v>1141</v>
      </c>
      <c r="C590" s="1" t="s">
        <v>26</v>
      </c>
      <c r="D590" s="1" t="s">
        <v>620</v>
      </c>
      <c r="E590" s="1" t="s">
        <v>28</v>
      </c>
      <c r="F590" s="1" t="s">
        <v>29</v>
      </c>
      <c r="G590" s="1" t="s">
        <v>30</v>
      </c>
      <c r="H590" s="1" t="s">
        <v>153</v>
      </c>
      <c r="I590" s="1">
        <v>100</v>
      </c>
      <c r="J590" s="1" t="s">
        <v>1142</v>
      </c>
      <c r="K590" s="1" t="s">
        <v>186</v>
      </c>
      <c r="L590" s="1" t="s">
        <v>34</v>
      </c>
      <c r="M590" s="1" t="s">
        <v>34</v>
      </c>
      <c r="N590" s="5">
        <v>162.5</v>
      </c>
      <c r="O590" s="5">
        <v>250</v>
      </c>
      <c r="P590" s="3" t="s">
        <v>59</v>
      </c>
      <c r="Q590" s="3" t="s">
        <v>59</v>
      </c>
      <c r="R590" s="3" t="s">
        <v>59</v>
      </c>
      <c r="S590" s="3" t="s">
        <v>59</v>
      </c>
      <c r="T590" s="3" t="s">
        <v>59</v>
      </c>
      <c r="U590" s="3"/>
      <c r="V590" s="3" t="s">
        <v>59</v>
      </c>
      <c r="W590" s="3" t="s">
        <v>59</v>
      </c>
      <c r="X590" s="3" t="s">
        <v>59</v>
      </c>
      <c r="Y590" s="3" t="s">
        <v>59</v>
      </c>
    </row>
    <row r="591" spans="1:25" hidden="1" x14ac:dyDescent="0.3">
      <c r="A591">
        <v>544</v>
      </c>
      <c r="B591" t="s">
        <v>1141</v>
      </c>
      <c r="C591" t="s">
        <v>26</v>
      </c>
      <c r="D591" t="s">
        <v>620</v>
      </c>
      <c r="E591" t="s">
        <v>28</v>
      </c>
      <c r="F591" t="s">
        <v>29</v>
      </c>
      <c r="G591" t="s">
        <v>30</v>
      </c>
      <c r="H591" t="s">
        <v>153</v>
      </c>
      <c r="I591">
        <v>100</v>
      </c>
      <c r="J591" t="s">
        <v>1142</v>
      </c>
      <c r="K591" t="s">
        <v>186</v>
      </c>
      <c r="L591" t="s">
        <v>1143</v>
      </c>
      <c r="M591" t="s">
        <v>1144</v>
      </c>
      <c r="N591" s="3">
        <v>150</v>
      </c>
      <c r="O591" s="3">
        <v>200</v>
      </c>
      <c r="P591" s="3" t="s">
        <v>59</v>
      </c>
      <c r="Q591" s="3" t="s">
        <v>59</v>
      </c>
      <c r="R591" s="3" t="s">
        <v>59</v>
      </c>
      <c r="S591" s="3" t="s">
        <v>59</v>
      </c>
      <c r="T591" s="3" t="s">
        <v>59</v>
      </c>
      <c r="U591" s="3" t="s">
        <v>59</v>
      </c>
      <c r="V591" s="3" t="s">
        <v>59</v>
      </c>
      <c r="W591" s="3" t="s">
        <v>59</v>
      </c>
      <c r="X591" s="3" t="s">
        <v>59</v>
      </c>
      <c r="Y591" s="3" t="s">
        <v>59</v>
      </c>
    </row>
    <row r="592" spans="1:25" hidden="1" x14ac:dyDescent="0.3">
      <c r="A592">
        <v>544</v>
      </c>
      <c r="B592" t="s">
        <v>1141</v>
      </c>
      <c r="C592" t="s">
        <v>26</v>
      </c>
      <c r="D592" t="s">
        <v>620</v>
      </c>
      <c r="E592" t="s">
        <v>28</v>
      </c>
      <c r="F592" t="s">
        <v>29</v>
      </c>
      <c r="G592" t="s">
        <v>30</v>
      </c>
      <c r="H592" t="s">
        <v>153</v>
      </c>
      <c r="I592">
        <v>100</v>
      </c>
      <c r="J592" t="s">
        <v>1142</v>
      </c>
      <c r="K592" t="s">
        <v>186</v>
      </c>
      <c r="L592" t="s">
        <v>1145</v>
      </c>
      <c r="M592" t="s">
        <v>1146</v>
      </c>
      <c r="N592" s="3">
        <v>200</v>
      </c>
      <c r="O592" s="3">
        <v>400</v>
      </c>
      <c r="P592" s="3" t="s">
        <v>59</v>
      </c>
      <c r="Q592" s="3" t="s">
        <v>59</v>
      </c>
      <c r="R592" s="3" t="s">
        <v>59</v>
      </c>
      <c r="S592" s="3" t="s">
        <v>59</v>
      </c>
      <c r="T592" s="3" t="s">
        <v>59</v>
      </c>
      <c r="U592" s="3" t="s">
        <v>59</v>
      </c>
      <c r="V592" s="3" t="s">
        <v>59</v>
      </c>
      <c r="W592" s="3" t="s">
        <v>59</v>
      </c>
      <c r="X592" s="3" t="s">
        <v>59</v>
      </c>
      <c r="Y592" s="3" t="s">
        <v>59</v>
      </c>
    </row>
    <row r="593" spans="1:25" hidden="1" x14ac:dyDescent="0.3">
      <c r="A593">
        <v>544</v>
      </c>
      <c r="B593" t="s">
        <v>1141</v>
      </c>
      <c r="C593" t="s">
        <v>26</v>
      </c>
      <c r="D593" t="s">
        <v>620</v>
      </c>
      <c r="E593" t="s">
        <v>28</v>
      </c>
      <c r="F593" t="s">
        <v>29</v>
      </c>
      <c r="G593" t="s">
        <v>30</v>
      </c>
      <c r="H593" t="s">
        <v>153</v>
      </c>
      <c r="I593">
        <v>100</v>
      </c>
      <c r="J593" t="s">
        <v>1142</v>
      </c>
      <c r="K593" t="s">
        <v>186</v>
      </c>
      <c r="L593" t="s">
        <v>1147</v>
      </c>
      <c r="M593" t="s">
        <v>1148</v>
      </c>
      <c r="N593" s="3">
        <v>100</v>
      </c>
      <c r="O593" s="3">
        <v>100</v>
      </c>
      <c r="P593" s="3" t="s">
        <v>59</v>
      </c>
      <c r="Q593" s="3" t="s">
        <v>59</v>
      </c>
      <c r="R593" s="3" t="s">
        <v>59</v>
      </c>
      <c r="S593" s="3" t="s">
        <v>59</v>
      </c>
      <c r="T593" s="3" t="s">
        <v>59</v>
      </c>
      <c r="U593" s="3" t="s">
        <v>59</v>
      </c>
      <c r="V593" s="3" t="s">
        <v>59</v>
      </c>
      <c r="W593" s="3" t="s">
        <v>59</v>
      </c>
      <c r="X593" s="3" t="s">
        <v>59</v>
      </c>
      <c r="Y593" s="3" t="s">
        <v>59</v>
      </c>
    </row>
    <row r="594" spans="1:25" hidden="1" x14ac:dyDescent="0.3">
      <c r="A594">
        <v>544</v>
      </c>
      <c r="B594" t="s">
        <v>1141</v>
      </c>
      <c r="C594" t="s">
        <v>26</v>
      </c>
      <c r="D594" t="s">
        <v>620</v>
      </c>
      <c r="E594" t="s">
        <v>28</v>
      </c>
      <c r="F594" t="s">
        <v>29</v>
      </c>
      <c r="G594" t="s">
        <v>30</v>
      </c>
      <c r="H594" t="s">
        <v>153</v>
      </c>
      <c r="I594">
        <v>100</v>
      </c>
      <c r="J594" t="s">
        <v>1142</v>
      </c>
      <c r="K594" t="s">
        <v>186</v>
      </c>
      <c r="L594" t="s">
        <v>1149</v>
      </c>
      <c r="M594" t="s">
        <v>1150</v>
      </c>
      <c r="N594" s="3">
        <v>200</v>
      </c>
      <c r="O594" s="3">
        <v>300</v>
      </c>
      <c r="P594" s="3" t="s">
        <v>59</v>
      </c>
      <c r="Q594" s="3" t="s">
        <v>59</v>
      </c>
      <c r="R594" s="3" t="s">
        <v>59</v>
      </c>
      <c r="S594" s="3" t="s">
        <v>59</v>
      </c>
      <c r="T594" s="3" t="s">
        <v>59</v>
      </c>
      <c r="U594" s="3" t="s">
        <v>59</v>
      </c>
      <c r="V594" s="3" t="s">
        <v>59</v>
      </c>
      <c r="W594" s="3" t="s">
        <v>59</v>
      </c>
      <c r="X594" s="3" t="s">
        <v>59</v>
      </c>
      <c r="Y594" s="3" t="s">
        <v>59</v>
      </c>
    </row>
    <row r="595" spans="1:25" hidden="1" x14ac:dyDescent="0.3">
      <c r="A595" s="1">
        <v>550</v>
      </c>
      <c r="B595" s="1" t="s">
        <v>1155</v>
      </c>
      <c r="C595" s="1" t="s">
        <v>26</v>
      </c>
      <c r="D595" s="1" t="s">
        <v>613</v>
      </c>
      <c r="E595" s="1" t="s">
        <v>44</v>
      </c>
      <c r="F595" s="1" t="s">
        <v>29</v>
      </c>
      <c r="G595" s="1" t="s">
        <v>30</v>
      </c>
      <c r="H595" s="1" t="s">
        <v>31</v>
      </c>
      <c r="I595" s="1">
        <v>80</v>
      </c>
      <c r="J595" s="1" t="s">
        <v>1156</v>
      </c>
      <c r="K595" s="1" t="s">
        <v>33</v>
      </c>
      <c r="L595" s="1" t="s">
        <v>33</v>
      </c>
      <c r="M595" s="1" t="s">
        <v>34</v>
      </c>
      <c r="N595" s="5">
        <v>95.5</v>
      </c>
      <c r="O595" s="5">
        <v>95</v>
      </c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hidden="1" x14ac:dyDescent="0.3">
      <c r="A596" s="1">
        <v>551</v>
      </c>
      <c r="B596" s="1" t="s">
        <v>1157</v>
      </c>
      <c r="C596" s="1" t="s">
        <v>26</v>
      </c>
      <c r="D596" s="1" t="s">
        <v>613</v>
      </c>
      <c r="E596" s="1" t="s">
        <v>28</v>
      </c>
      <c r="F596" s="1" t="s">
        <v>29</v>
      </c>
      <c r="G596" s="1" t="s">
        <v>30</v>
      </c>
      <c r="H596" s="1" t="s">
        <v>31</v>
      </c>
      <c r="I596" s="1">
        <v>4</v>
      </c>
      <c r="J596" s="1" t="s">
        <v>1158</v>
      </c>
      <c r="K596" s="1" t="s">
        <v>33</v>
      </c>
      <c r="L596" s="1" t="s">
        <v>33</v>
      </c>
      <c r="M596" s="1" t="s">
        <v>34</v>
      </c>
      <c r="N596" s="5">
        <v>5</v>
      </c>
      <c r="O596" s="5">
        <v>5</v>
      </c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hidden="1" x14ac:dyDescent="0.3">
      <c r="A597" s="1">
        <v>554</v>
      </c>
      <c r="B597" s="1" t="s">
        <v>1163</v>
      </c>
      <c r="C597" s="1" t="s">
        <v>47</v>
      </c>
      <c r="D597" s="1" t="s">
        <v>292</v>
      </c>
      <c r="E597" s="1" t="s">
        <v>44</v>
      </c>
      <c r="F597" s="1" t="s">
        <v>29</v>
      </c>
      <c r="G597" s="1" t="s">
        <v>30</v>
      </c>
      <c r="H597" s="1" t="s">
        <v>31</v>
      </c>
      <c r="I597" s="1">
        <v>80</v>
      </c>
      <c r="J597" s="1" t="s">
        <v>1164</v>
      </c>
      <c r="K597" s="1" t="s">
        <v>33</v>
      </c>
      <c r="L597" s="1" t="s">
        <v>33</v>
      </c>
      <c r="M597" s="1" t="s">
        <v>34</v>
      </c>
      <c r="N597" s="5">
        <v>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hidden="1" x14ac:dyDescent="0.3">
      <c r="A598" s="1">
        <v>555</v>
      </c>
      <c r="B598" s="1" t="s">
        <v>1165</v>
      </c>
      <c r="C598" s="1" t="s">
        <v>47</v>
      </c>
      <c r="D598" s="1" t="s">
        <v>560</v>
      </c>
      <c r="E598" s="1" t="s">
        <v>44</v>
      </c>
      <c r="F598" s="1" t="s">
        <v>29</v>
      </c>
      <c r="G598" s="1" t="s">
        <v>30</v>
      </c>
      <c r="H598" s="1" t="s">
        <v>31</v>
      </c>
      <c r="I598" s="1">
        <v>80</v>
      </c>
      <c r="J598" s="1" t="s">
        <v>1166</v>
      </c>
      <c r="K598" s="1" t="s">
        <v>33</v>
      </c>
      <c r="L598" s="1" t="s">
        <v>33</v>
      </c>
      <c r="M598" s="1" t="s">
        <v>34</v>
      </c>
      <c r="N598" s="5">
        <v>100</v>
      </c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hidden="1" x14ac:dyDescent="0.3">
      <c r="A599" s="1">
        <v>69</v>
      </c>
      <c r="B599" s="1" t="s">
        <v>35</v>
      </c>
      <c r="C599" s="1" t="s">
        <v>26</v>
      </c>
      <c r="D599" s="1" t="s">
        <v>27</v>
      </c>
      <c r="E599" s="1" t="s">
        <v>28</v>
      </c>
      <c r="F599" s="1" t="s">
        <v>36</v>
      </c>
      <c r="G599" s="1" t="s">
        <v>30</v>
      </c>
      <c r="H599" s="1" t="s">
        <v>31</v>
      </c>
      <c r="I599" s="1">
        <v>90</v>
      </c>
      <c r="J599" s="1" t="s">
        <v>37</v>
      </c>
      <c r="K599" s="1" t="s">
        <v>33</v>
      </c>
      <c r="L599" s="1" t="s">
        <v>33</v>
      </c>
      <c r="M599" s="1" t="s">
        <v>34</v>
      </c>
      <c r="N599" s="4">
        <v>91.52</v>
      </c>
      <c r="O599" s="4">
        <v>90.14</v>
      </c>
      <c r="P599" s="4">
        <v>90.78</v>
      </c>
      <c r="Q599" s="4">
        <v>90.75</v>
      </c>
      <c r="R599" s="4">
        <v>90.5</v>
      </c>
      <c r="S599" s="4">
        <v>91.67</v>
      </c>
      <c r="T599" s="4">
        <v>91.33</v>
      </c>
      <c r="U599" s="4">
        <v>91.32</v>
      </c>
      <c r="V599" s="4">
        <v>92.79</v>
      </c>
      <c r="W599" s="4">
        <v>92.89</v>
      </c>
      <c r="X599" s="4">
        <v>90.397672162948993</v>
      </c>
      <c r="Y599" s="4">
        <v>90.541781450871994</v>
      </c>
    </row>
    <row r="600" spans="1:25" hidden="1" x14ac:dyDescent="0.3">
      <c r="A600" s="1">
        <v>111</v>
      </c>
      <c r="B600" s="1" t="s">
        <v>82</v>
      </c>
      <c r="C600" s="1" t="s">
        <v>26</v>
      </c>
      <c r="D600" s="1" t="s">
        <v>27</v>
      </c>
      <c r="E600" s="1" t="s">
        <v>44</v>
      </c>
      <c r="F600" s="1" t="s">
        <v>36</v>
      </c>
      <c r="G600" s="1" t="s">
        <v>30</v>
      </c>
      <c r="H600" s="1" t="s">
        <v>31</v>
      </c>
      <c r="I600" s="1">
        <v>80</v>
      </c>
      <c r="J600" s="1" t="s">
        <v>85</v>
      </c>
      <c r="K600" s="1" t="s">
        <v>33</v>
      </c>
      <c r="L600" s="1" t="s">
        <v>33</v>
      </c>
      <c r="M600" s="1" t="s">
        <v>34</v>
      </c>
      <c r="N600" s="5">
        <v>96.6</v>
      </c>
      <c r="O600" s="5">
        <v>92.5</v>
      </c>
      <c r="P600" s="5">
        <v>100</v>
      </c>
      <c r="Q600" s="5">
        <v>92.7</v>
      </c>
      <c r="R600" s="5">
        <v>92</v>
      </c>
      <c r="S600" s="5">
        <v>86.7</v>
      </c>
      <c r="T600" s="5">
        <v>98</v>
      </c>
      <c r="U600" s="5">
        <v>94</v>
      </c>
      <c r="V600" s="5">
        <v>96</v>
      </c>
      <c r="W600" s="5">
        <v>93</v>
      </c>
      <c r="X600" s="5">
        <v>90</v>
      </c>
      <c r="Y600" s="5">
        <v>87</v>
      </c>
    </row>
    <row r="601" spans="1:25" hidden="1" x14ac:dyDescent="0.3">
      <c r="A601" s="1">
        <v>197</v>
      </c>
      <c r="B601" s="1" t="s">
        <v>143</v>
      </c>
      <c r="C601" s="1" t="s">
        <v>47</v>
      </c>
      <c r="D601" s="1" t="s">
        <v>86</v>
      </c>
      <c r="E601" s="1" t="s">
        <v>28</v>
      </c>
      <c r="F601" s="1" t="s">
        <v>36</v>
      </c>
      <c r="G601" s="1" t="s">
        <v>30</v>
      </c>
      <c r="H601" s="1" t="s">
        <v>31</v>
      </c>
      <c r="I601" s="1">
        <v>97</v>
      </c>
      <c r="J601" s="1" t="s">
        <v>144</v>
      </c>
      <c r="K601" s="1" t="s">
        <v>33</v>
      </c>
      <c r="L601" s="1" t="s">
        <v>33</v>
      </c>
      <c r="M601" s="1" t="s">
        <v>34</v>
      </c>
      <c r="N601" s="4">
        <v>100</v>
      </c>
      <c r="O601" s="5">
        <v>104</v>
      </c>
      <c r="P601" s="6">
        <v>96.43</v>
      </c>
      <c r="Q601" s="4">
        <v>100</v>
      </c>
      <c r="R601" s="4">
        <v>100</v>
      </c>
      <c r="S601" s="4">
        <v>100</v>
      </c>
      <c r="T601" s="4">
        <v>100</v>
      </c>
      <c r="U601" s="4">
        <v>100</v>
      </c>
      <c r="V601" s="5">
        <v>100</v>
      </c>
      <c r="W601" s="5">
        <v>100</v>
      </c>
      <c r="X601" s="5">
        <v>100</v>
      </c>
      <c r="Y601" s="5">
        <v>100</v>
      </c>
    </row>
    <row r="602" spans="1:25" hidden="1" x14ac:dyDescent="0.3">
      <c r="A602" s="1">
        <v>213</v>
      </c>
      <c r="B602" s="1" t="s">
        <v>184</v>
      </c>
      <c r="C602" s="1" t="s">
        <v>47</v>
      </c>
      <c r="D602" s="1" t="s">
        <v>93</v>
      </c>
      <c r="E602" s="1" t="s">
        <v>28</v>
      </c>
      <c r="F602" s="1" t="s">
        <v>36</v>
      </c>
      <c r="G602" s="1" t="s">
        <v>30</v>
      </c>
      <c r="H602" s="1" t="s">
        <v>153</v>
      </c>
      <c r="I602" s="1">
        <v>90</v>
      </c>
      <c r="J602" s="1" t="s">
        <v>185</v>
      </c>
      <c r="K602" s="1" t="s">
        <v>186</v>
      </c>
      <c r="L602" s="1" t="s">
        <v>34</v>
      </c>
      <c r="M602" s="1" t="s">
        <v>34</v>
      </c>
      <c r="N602" s="4">
        <v>100</v>
      </c>
      <c r="O602" s="4">
        <v>100</v>
      </c>
      <c r="P602" s="4">
        <v>94.63</v>
      </c>
      <c r="Q602" s="4">
        <v>100</v>
      </c>
      <c r="R602" s="4">
        <v>100</v>
      </c>
      <c r="S602" s="4">
        <v>97.79</v>
      </c>
      <c r="T602" s="4">
        <v>100</v>
      </c>
      <c r="U602" s="4">
        <v>100</v>
      </c>
      <c r="V602" s="4">
        <v>100</v>
      </c>
      <c r="W602" s="6">
        <v>86.4</v>
      </c>
      <c r="X602" s="4">
        <v>93.33</v>
      </c>
      <c r="Y602" s="4">
        <v>100</v>
      </c>
    </row>
    <row r="603" spans="1:25" hidden="1" x14ac:dyDescent="0.3">
      <c r="A603">
        <v>213</v>
      </c>
      <c r="B603" t="s">
        <v>184</v>
      </c>
      <c r="C603" t="s">
        <v>47</v>
      </c>
      <c r="D603" t="s">
        <v>93</v>
      </c>
      <c r="E603" t="s">
        <v>28</v>
      </c>
      <c r="F603" t="s">
        <v>36</v>
      </c>
      <c r="G603" t="s">
        <v>30</v>
      </c>
      <c r="H603" t="s">
        <v>153</v>
      </c>
      <c r="I603">
        <v>90</v>
      </c>
      <c r="J603" t="s">
        <v>185</v>
      </c>
      <c r="K603" t="s">
        <v>186</v>
      </c>
      <c r="L603" t="s">
        <v>187</v>
      </c>
      <c r="M603" t="s">
        <v>188</v>
      </c>
      <c r="N603" s="3">
        <v>100</v>
      </c>
      <c r="O603" s="3">
        <v>100</v>
      </c>
      <c r="P603" s="3">
        <v>94.55</v>
      </c>
      <c r="Q603" s="3">
        <v>100</v>
      </c>
      <c r="R603" s="3">
        <v>100</v>
      </c>
      <c r="S603" s="3">
        <v>100</v>
      </c>
      <c r="T603" s="3">
        <v>100</v>
      </c>
      <c r="U603" s="3">
        <v>100</v>
      </c>
      <c r="V603" s="3">
        <v>100</v>
      </c>
      <c r="W603" s="3">
        <v>96.49</v>
      </c>
      <c r="X603" s="3">
        <v>90.91</v>
      </c>
      <c r="Y603" s="3">
        <v>100</v>
      </c>
    </row>
    <row r="604" spans="1:25" hidden="1" x14ac:dyDescent="0.3">
      <c r="A604">
        <v>213</v>
      </c>
      <c r="B604" t="s">
        <v>184</v>
      </c>
      <c r="C604" t="s">
        <v>47</v>
      </c>
      <c r="D604" t="s">
        <v>93</v>
      </c>
      <c r="E604" t="s">
        <v>28</v>
      </c>
      <c r="F604" t="s">
        <v>36</v>
      </c>
      <c r="G604" t="s">
        <v>30</v>
      </c>
      <c r="H604" t="s">
        <v>153</v>
      </c>
      <c r="I604">
        <v>90</v>
      </c>
      <c r="J604" t="s">
        <v>185</v>
      </c>
      <c r="K604" t="s">
        <v>186</v>
      </c>
      <c r="L604" t="s">
        <v>189</v>
      </c>
      <c r="M604" t="s">
        <v>190</v>
      </c>
      <c r="N604" s="3">
        <v>100</v>
      </c>
      <c r="O604" s="3">
        <v>100</v>
      </c>
      <c r="P604" s="3">
        <v>100</v>
      </c>
      <c r="Q604" s="3">
        <v>100</v>
      </c>
      <c r="R604" s="3">
        <v>100</v>
      </c>
      <c r="S604" s="3">
        <v>100</v>
      </c>
      <c r="T604" s="3">
        <v>100</v>
      </c>
      <c r="U604" s="3">
        <v>100</v>
      </c>
      <c r="V604" s="3">
        <v>100</v>
      </c>
      <c r="W604" s="3">
        <v>100</v>
      </c>
      <c r="X604" s="3">
        <v>91.67</v>
      </c>
      <c r="Y604" s="3">
        <v>100</v>
      </c>
    </row>
    <row r="605" spans="1:25" hidden="1" x14ac:dyDescent="0.3">
      <c r="A605">
        <v>213</v>
      </c>
      <c r="B605" t="s">
        <v>184</v>
      </c>
      <c r="C605" t="s">
        <v>47</v>
      </c>
      <c r="D605" t="s">
        <v>93</v>
      </c>
      <c r="E605" t="s">
        <v>28</v>
      </c>
      <c r="F605" t="s">
        <v>36</v>
      </c>
      <c r="G605" t="s">
        <v>30</v>
      </c>
      <c r="H605" t="s">
        <v>153</v>
      </c>
      <c r="I605">
        <v>90</v>
      </c>
      <c r="J605" t="s">
        <v>185</v>
      </c>
      <c r="K605" t="s">
        <v>186</v>
      </c>
      <c r="L605" t="s">
        <v>191</v>
      </c>
      <c r="M605" t="s">
        <v>192</v>
      </c>
      <c r="N605" s="3">
        <v>100</v>
      </c>
      <c r="O605" s="3">
        <v>100</v>
      </c>
      <c r="P605" s="3">
        <v>100</v>
      </c>
      <c r="Q605" s="3">
        <v>100</v>
      </c>
      <c r="R605" s="3">
        <v>100</v>
      </c>
      <c r="S605" s="3">
        <v>93.55</v>
      </c>
      <c r="T605" s="3">
        <v>100</v>
      </c>
      <c r="U605" s="3">
        <v>100</v>
      </c>
      <c r="V605" s="3">
        <v>100</v>
      </c>
      <c r="W605" s="3">
        <v>87.5</v>
      </c>
      <c r="X605" s="3">
        <v>91.67</v>
      </c>
      <c r="Y605" s="3">
        <v>100</v>
      </c>
    </row>
    <row r="606" spans="1:25" hidden="1" x14ac:dyDescent="0.3">
      <c r="A606">
        <v>213</v>
      </c>
      <c r="B606" t="s">
        <v>184</v>
      </c>
      <c r="C606" t="s">
        <v>47</v>
      </c>
      <c r="D606" t="s">
        <v>93</v>
      </c>
      <c r="E606" t="s">
        <v>28</v>
      </c>
      <c r="F606" t="s">
        <v>36</v>
      </c>
      <c r="G606" t="s">
        <v>30</v>
      </c>
      <c r="H606" t="s">
        <v>153</v>
      </c>
      <c r="I606">
        <v>90</v>
      </c>
      <c r="J606" t="s">
        <v>185</v>
      </c>
      <c r="K606" t="s">
        <v>186</v>
      </c>
      <c r="L606" t="s">
        <v>193</v>
      </c>
      <c r="M606" t="s">
        <v>194</v>
      </c>
      <c r="N606" s="3">
        <v>100</v>
      </c>
      <c r="O606" s="3">
        <v>100</v>
      </c>
      <c r="P606" s="3">
        <v>100</v>
      </c>
      <c r="Q606" s="3">
        <v>100</v>
      </c>
      <c r="R606" s="3">
        <v>100</v>
      </c>
      <c r="S606" s="3">
        <v>100</v>
      </c>
      <c r="T606" s="3">
        <v>100</v>
      </c>
      <c r="U606" s="3">
        <v>100</v>
      </c>
      <c r="V606" s="3">
        <v>100</v>
      </c>
      <c r="W606" s="3">
        <v>85.71</v>
      </c>
      <c r="X606" s="3">
        <v>85.71</v>
      </c>
      <c r="Y606" s="3">
        <v>100</v>
      </c>
    </row>
    <row r="607" spans="1:25" hidden="1" x14ac:dyDescent="0.3">
      <c r="A607">
        <v>213</v>
      </c>
      <c r="B607" t="s">
        <v>184</v>
      </c>
      <c r="C607" t="s">
        <v>47</v>
      </c>
      <c r="D607" t="s">
        <v>93</v>
      </c>
      <c r="E607" t="s">
        <v>28</v>
      </c>
      <c r="F607" t="s">
        <v>36</v>
      </c>
      <c r="G607" t="s">
        <v>30</v>
      </c>
      <c r="H607" t="s">
        <v>153</v>
      </c>
      <c r="I607">
        <v>90</v>
      </c>
      <c r="J607" t="s">
        <v>185</v>
      </c>
      <c r="K607" t="s">
        <v>186</v>
      </c>
      <c r="L607" t="s">
        <v>195</v>
      </c>
      <c r="M607" t="s">
        <v>196</v>
      </c>
      <c r="N607" s="3">
        <v>100</v>
      </c>
      <c r="O607" s="3">
        <v>100</v>
      </c>
      <c r="P607" s="3">
        <v>100</v>
      </c>
      <c r="Q607" s="3">
        <v>100</v>
      </c>
      <c r="R607" s="3">
        <v>100</v>
      </c>
      <c r="S607" s="3">
        <v>100</v>
      </c>
      <c r="T607" s="3">
        <v>100</v>
      </c>
      <c r="U607" s="3">
        <v>100</v>
      </c>
      <c r="V607" s="3">
        <v>100</v>
      </c>
      <c r="W607" s="3">
        <v>100</v>
      </c>
      <c r="X607" s="3">
        <v>100</v>
      </c>
      <c r="Y607" s="3" t="s">
        <v>59</v>
      </c>
    </row>
    <row r="608" spans="1:25" hidden="1" x14ac:dyDescent="0.3">
      <c r="A608">
        <v>213</v>
      </c>
      <c r="B608" t="s">
        <v>184</v>
      </c>
      <c r="C608" t="s">
        <v>47</v>
      </c>
      <c r="D608" t="s">
        <v>93</v>
      </c>
      <c r="E608" t="s">
        <v>28</v>
      </c>
      <c r="F608" t="s">
        <v>36</v>
      </c>
      <c r="G608" t="s">
        <v>30</v>
      </c>
      <c r="H608" t="s">
        <v>153</v>
      </c>
      <c r="I608">
        <v>90</v>
      </c>
      <c r="J608" t="s">
        <v>185</v>
      </c>
      <c r="K608" t="s">
        <v>186</v>
      </c>
      <c r="L608" t="s">
        <v>197</v>
      </c>
      <c r="M608" t="s">
        <v>198</v>
      </c>
      <c r="N608" s="3">
        <v>100</v>
      </c>
      <c r="O608" s="3">
        <v>100</v>
      </c>
      <c r="P608" s="3" t="s">
        <v>59</v>
      </c>
      <c r="Q608" s="3">
        <v>100</v>
      </c>
      <c r="R608" s="3">
        <v>100</v>
      </c>
      <c r="S608" s="3">
        <v>100</v>
      </c>
      <c r="T608" s="3">
        <v>100</v>
      </c>
      <c r="U608" s="3" t="s">
        <v>59</v>
      </c>
      <c r="V608" s="3">
        <v>100</v>
      </c>
      <c r="W608" s="3">
        <v>37.5</v>
      </c>
      <c r="X608" s="3">
        <v>100</v>
      </c>
      <c r="Y608" s="3" t="s">
        <v>59</v>
      </c>
    </row>
    <row r="609" spans="1:25" hidden="1" x14ac:dyDescent="0.3">
      <c r="A609">
        <v>213</v>
      </c>
      <c r="B609" t="s">
        <v>184</v>
      </c>
      <c r="C609" t="s">
        <v>47</v>
      </c>
      <c r="D609" t="s">
        <v>93</v>
      </c>
      <c r="E609" t="s">
        <v>28</v>
      </c>
      <c r="F609" t="s">
        <v>36</v>
      </c>
      <c r="G609" t="s">
        <v>30</v>
      </c>
      <c r="H609" t="s">
        <v>153</v>
      </c>
      <c r="I609">
        <v>90</v>
      </c>
      <c r="J609" t="s">
        <v>185</v>
      </c>
      <c r="K609" t="s">
        <v>186</v>
      </c>
      <c r="L609" t="s">
        <v>199</v>
      </c>
      <c r="M609" t="s">
        <v>200</v>
      </c>
      <c r="N609" s="3">
        <v>100</v>
      </c>
      <c r="O609" s="3">
        <v>100</v>
      </c>
      <c r="P609" s="3">
        <v>78.95</v>
      </c>
      <c r="Q609" s="3">
        <v>100</v>
      </c>
      <c r="R609" s="3">
        <v>100</v>
      </c>
      <c r="S609" s="3">
        <v>100</v>
      </c>
      <c r="T609" s="3">
        <v>100</v>
      </c>
      <c r="U609" s="3">
        <v>100</v>
      </c>
      <c r="V609" s="3">
        <v>100</v>
      </c>
      <c r="W609" s="3">
        <v>97.62</v>
      </c>
      <c r="X609" s="3">
        <v>91.3</v>
      </c>
      <c r="Y609" s="3">
        <v>100</v>
      </c>
    </row>
    <row r="610" spans="1:25" hidden="1" x14ac:dyDescent="0.3">
      <c r="A610">
        <v>213</v>
      </c>
      <c r="B610" t="s">
        <v>184</v>
      </c>
      <c r="C610" t="s">
        <v>47</v>
      </c>
      <c r="D610" t="s">
        <v>93</v>
      </c>
      <c r="E610" t="s">
        <v>28</v>
      </c>
      <c r="F610" t="s">
        <v>36</v>
      </c>
      <c r="G610" t="s">
        <v>30</v>
      </c>
      <c r="H610" t="s">
        <v>153</v>
      </c>
      <c r="I610">
        <v>90</v>
      </c>
      <c r="J610" t="s">
        <v>185</v>
      </c>
      <c r="K610" t="s">
        <v>186</v>
      </c>
      <c r="L610" t="s">
        <v>201</v>
      </c>
      <c r="M610" t="s">
        <v>202</v>
      </c>
      <c r="N610" s="3">
        <v>100</v>
      </c>
      <c r="O610" s="3">
        <v>100</v>
      </c>
      <c r="P610" s="3">
        <v>88.89</v>
      </c>
      <c r="Q610" s="3">
        <v>100</v>
      </c>
      <c r="R610" s="3">
        <v>100</v>
      </c>
      <c r="S610" s="3">
        <v>91.3</v>
      </c>
      <c r="T610" s="3">
        <v>100</v>
      </c>
      <c r="U610" s="3">
        <v>100</v>
      </c>
      <c r="V610" s="3">
        <v>100</v>
      </c>
      <c r="W610" s="3">
        <v>86.36</v>
      </c>
      <c r="X610" s="3">
        <v>95.35</v>
      </c>
      <c r="Y610" s="3">
        <v>100</v>
      </c>
    </row>
    <row r="611" spans="1:25" hidden="1" x14ac:dyDescent="0.3">
      <c r="A611" s="1">
        <v>233</v>
      </c>
      <c r="B611" s="1" t="s">
        <v>246</v>
      </c>
      <c r="C611" s="1" t="s">
        <v>26</v>
      </c>
      <c r="D611" s="1" t="s">
        <v>93</v>
      </c>
      <c r="E611" s="1" t="s">
        <v>28</v>
      </c>
      <c r="F611" s="1" t="s">
        <v>36</v>
      </c>
      <c r="G611" s="1" t="s">
        <v>30</v>
      </c>
      <c r="H611" s="1" t="s">
        <v>31</v>
      </c>
      <c r="I611" s="1">
        <v>20</v>
      </c>
      <c r="J611" s="1" t="s">
        <v>247</v>
      </c>
      <c r="K611" s="1" t="s">
        <v>33</v>
      </c>
      <c r="L611" s="1" t="s">
        <v>33</v>
      </c>
      <c r="M611" s="1" t="s">
        <v>34</v>
      </c>
      <c r="N611" s="3"/>
      <c r="O611" s="3" t="s">
        <v>59</v>
      </c>
      <c r="P611" s="6">
        <v>11.77</v>
      </c>
      <c r="Q611" s="5">
        <v>32.86</v>
      </c>
      <c r="R611" s="5">
        <v>31.821236559139791</v>
      </c>
      <c r="S611" s="3" t="s">
        <v>59</v>
      </c>
      <c r="T611" s="6">
        <v>18.566537063468068</v>
      </c>
      <c r="U611" s="5">
        <v>48.350694444444443</v>
      </c>
      <c r="V611" s="7">
        <v>9.6282754418037779</v>
      </c>
      <c r="W611" s="5">
        <v>27.41037918985376</v>
      </c>
      <c r="X611" s="5">
        <v>27.605832597150719</v>
      </c>
      <c r="Y611" s="5">
        <v>64.367816091954026</v>
      </c>
    </row>
    <row r="612" spans="1:25" hidden="1" x14ac:dyDescent="0.3">
      <c r="A612" s="1">
        <v>234</v>
      </c>
      <c r="B612" s="1" t="s">
        <v>248</v>
      </c>
      <c r="C612" s="1" t="s">
        <v>26</v>
      </c>
      <c r="D612" s="1" t="s">
        <v>93</v>
      </c>
      <c r="E612" s="1" t="s">
        <v>28</v>
      </c>
      <c r="F612" s="1" t="s">
        <v>36</v>
      </c>
      <c r="G612" s="1" t="s">
        <v>30</v>
      </c>
      <c r="H612" s="1" t="s">
        <v>31</v>
      </c>
      <c r="I612" s="1">
        <v>4000</v>
      </c>
      <c r="J612" s="1" t="s">
        <v>249</v>
      </c>
      <c r="K612" s="1" t="s">
        <v>33</v>
      </c>
      <c r="L612" s="1" t="s">
        <v>33</v>
      </c>
      <c r="M612" s="1" t="s">
        <v>34</v>
      </c>
      <c r="N612" s="3"/>
      <c r="O612" s="3" t="s">
        <v>59</v>
      </c>
      <c r="P612" s="5">
        <v>14042.5</v>
      </c>
      <c r="Q612" s="5">
        <v>7112</v>
      </c>
      <c r="R612" s="4">
        <v>4218</v>
      </c>
      <c r="S612" s="3" t="s">
        <v>59</v>
      </c>
      <c r="T612" s="5">
        <v>5453.333333333333</v>
      </c>
      <c r="U612" s="7">
        <v>3234.25</v>
      </c>
      <c r="V612" s="5">
        <v>5893.5</v>
      </c>
      <c r="W612" s="5">
        <v>10713.75</v>
      </c>
      <c r="X612" s="5">
        <v>6843.5</v>
      </c>
      <c r="Y612" s="6">
        <v>3692.25</v>
      </c>
    </row>
    <row r="613" spans="1:25" hidden="1" x14ac:dyDescent="0.3">
      <c r="A613" s="1">
        <v>238</v>
      </c>
      <c r="B613" s="1" t="s">
        <v>254</v>
      </c>
      <c r="C613" s="1" t="s">
        <v>47</v>
      </c>
      <c r="D613" s="1" t="s">
        <v>93</v>
      </c>
      <c r="E613" s="1" t="s">
        <v>28</v>
      </c>
      <c r="F613" s="1" t="s">
        <v>36</v>
      </c>
      <c r="G613" s="1" t="s">
        <v>30</v>
      </c>
      <c r="H613" s="1" t="s">
        <v>153</v>
      </c>
      <c r="I613" s="1">
        <v>90</v>
      </c>
      <c r="J613" s="1" t="s">
        <v>255</v>
      </c>
      <c r="K613" s="1" t="s">
        <v>155</v>
      </c>
      <c r="L613" s="1" t="s">
        <v>34</v>
      </c>
      <c r="M613" s="1" t="s">
        <v>34</v>
      </c>
      <c r="N613" s="3"/>
      <c r="O613" s="3"/>
      <c r="P613" s="4">
        <v>90.48</v>
      </c>
      <c r="Q613" s="4">
        <v>95.12</v>
      </c>
      <c r="R613" s="6">
        <v>80</v>
      </c>
      <c r="S613" s="6">
        <v>84.210526315789465</v>
      </c>
      <c r="T613" s="7">
        <v>78.125</v>
      </c>
      <c r="U613" s="7">
        <v>76.19047619047619</v>
      </c>
      <c r="V613" s="7">
        <v>75</v>
      </c>
      <c r="W613" s="6">
        <v>84.210526315789465</v>
      </c>
      <c r="X613" s="4">
        <v>96.428571428571431</v>
      </c>
      <c r="Y613" s="4">
        <v>94.444444444444443</v>
      </c>
    </row>
    <row r="614" spans="1:25" hidden="1" x14ac:dyDescent="0.3">
      <c r="A614">
        <v>238</v>
      </c>
      <c r="B614" t="s">
        <v>254</v>
      </c>
      <c r="C614" t="s">
        <v>47</v>
      </c>
      <c r="D614" t="s">
        <v>93</v>
      </c>
      <c r="E614" t="s">
        <v>28</v>
      </c>
      <c r="F614" t="s">
        <v>36</v>
      </c>
      <c r="G614" t="s">
        <v>30</v>
      </c>
      <c r="H614" t="s">
        <v>153</v>
      </c>
      <c r="I614">
        <v>90</v>
      </c>
      <c r="J614" t="s">
        <v>255</v>
      </c>
      <c r="K614" t="s">
        <v>155</v>
      </c>
      <c r="L614" t="s">
        <v>256</v>
      </c>
      <c r="M614" t="s">
        <v>257</v>
      </c>
      <c r="N614" s="3" t="s">
        <v>59</v>
      </c>
      <c r="O614" s="3" t="s">
        <v>59</v>
      </c>
      <c r="P614" s="3">
        <v>90.63</v>
      </c>
      <c r="Q614" s="3">
        <v>95.24</v>
      </c>
      <c r="R614" s="3">
        <v>100</v>
      </c>
      <c r="S614" s="3">
        <v>100</v>
      </c>
      <c r="T614" s="3">
        <v>100</v>
      </c>
      <c r="U614" s="3">
        <v>100</v>
      </c>
      <c r="V614" s="3">
        <v>100</v>
      </c>
      <c r="W614" s="3">
        <v>0</v>
      </c>
      <c r="X614" s="3">
        <v>100</v>
      </c>
      <c r="Y614" s="3">
        <v>100</v>
      </c>
    </row>
    <row r="615" spans="1:25" hidden="1" x14ac:dyDescent="0.3">
      <c r="A615">
        <v>238</v>
      </c>
      <c r="B615" t="s">
        <v>254</v>
      </c>
      <c r="C615" t="s">
        <v>47</v>
      </c>
      <c r="D615" t="s">
        <v>93</v>
      </c>
      <c r="E615" t="s">
        <v>28</v>
      </c>
      <c r="F615" t="s">
        <v>36</v>
      </c>
      <c r="G615" t="s">
        <v>30</v>
      </c>
      <c r="H615" t="s">
        <v>153</v>
      </c>
      <c r="I615">
        <v>90</v>
      </c>
      <c r="J615" t="s">
        <v>255</v>
      </c>
      <c r="K615" t="s">
        <v>155</v>
      </c>
      <c r="L615" t="s">
        <v>258</v>
      </c>
      <c r="M615" t="s">
        <v>259</v>
      </c>
      <c r="N615" s="3" t="s">
        <v>59</v>
      </c>
      <c r="O615" s="3" t="s">
        <v>59</v>
      </c>
      <c r="P615" s="3">
        <v>92.31</v>
      </c>
      <c r="Q615" s="3">
        <v>88.89</v>
      </c>
      <c r="R615" s="3">
        <v>64.290000000000006</v>
      </c>
      <c r="S615" s="3">
        <v>66.67</v>
      </c>
      <c r="T615" s="3">
        <v>53.85</v>
      </c>
      <c r="U615" s="3">
        <v>77.78</v>
      </c>
      <c r="V615" s="3">
        <v>64.290000000000006</v>
      </c>
      <c r="W615" s="3">
        <v>71.430000000000007</v>
      </c>
      <c r="X615" s="3">
        <v>88.89</v>
      </c>
      <c r="Y615" s="3">
        <v>83.33</v>
      </c>
    </row>
    <row r="616" spans="1:25" hidden="1" x14ac:dyDescent="0.3">
      <c r="A616">
        <v>238</v>
      </c>
      <c r="B616" t="s">
        <v>254</v>
      </c>
      <c r="C616" t="s">
        <v>47</v>
      </c>
      <c r="D616" t="s">
        <v>93</v>
      </c>
      <c r="E616" t="s">
        <v>28</v>
      </c>
      <c r="F616" t="s">
        <v>36</v>
      </c>
      <c r="G616" t="s">
        <v>30</v>
      </c>
      <c r="H616" t="s">
        <v>153</v>
      </c>
      <c r="I616">
        <v>90</v>
      </c>
      <c r="J616" t="s">
        <v>255</v>
      </c>
      <c r="K616" t="s">
        <v>155</v>
      </c>
      <c r="L616" t="s">
        <v>260</v>
      </c>
      <c r="M616" t="s">
        <v>261</v>
      </c>
      <c r="N616" s="3" t="s">
        <v>59</v>
      </c>
      <c r="O616" s="3" t="s">
        <v>59</v>
      </c>
      <c r="P616" s="3">
        <v>100</v>
      </c>
      <c r="Q616" s="3">
        <v>100</v>
      </c>
      <c r="R616" s="3">
        <v>80</v>
      </c>
      <c r="S616" s="3">
        <v>100</v>
      </c>
      <c r="T616" s="3">
        <v>100</v>
      </c>
      <c r="U616" s="3">
        <v>100</v>
      </c>
      <c r="V616" s="3">
        <v>80</v>
      </c>
      <c r="W616" s="3">
        <v>100</v>
      </c>
      <c r="X616" s="3">
        <v>100</v>
      </c>
      <c r="Y616" s="3">
        <v>100</v>
      </c>
    </row>
    <row r="617" spans="1:25" hidden="1" x14ac:dyDescent="0.3">
      <c r="A617">
        <v>238</v>
      </c>
      <c r="B617" t="s">
        <v>254</v>
      </c>
      <c r="C617" t="s">
        <v>47</v>
      </c>
      <c r="D617" t="s">
        <v>93</v>
      </c>
      <c r="E617" t="s">
        <v>28</v>
      </c>
      <c r="F617" t="s">
        <v>36</v>
      </c>
      <c r="G617" t="s">
        <v>30</v>
      </c>
      <c r="H617" t="s">
        <v>153</v>
      </c>
      <c r="I617">
        <v>90</v>
      </c>
      <c r="J617" t="s">
        <v>255</v>
      </c>
      <c r="K617" t="s">
        <v>155</v>
      </c>
      <c r="L617" t="s">
        <v>262</v>
      </c>
      <c r="M617" t="s">
        <v>263</v>
      </c>
      <c r="N617" s="3" t="s">
        <v>59</v>
      </c>
      <c r="O617" s="3" t="s">
        <v>59</v>
      </c>
      <c r="P617" s="3">
        <v>100</v>
      </c>
      <c r="Q617" s="3">
        <v>100</v>
      </c>
      <c r="R617" s="3">
        <v>71.430000000000007</v>
      </c>
      <c r="S617" s="3">
        <v>100</v>
      </c>
      <c r="T617" s="3">
        <v>80</v>
      </c>
      <c r="U617" s="3">
        <v>33.33</v>
      </c>
      <c r="V617" s="3">
        <v>71.430000000000007</v>
      </c>
      <c r="W617" s="3">
        <v>100</v>
      </c>
      <c r="X617" s="3">
        <v>100</v>
      </c>
      <c r="Y617" s="3">
        <v>100</v>
      </c>
    </row>
    <row r="618" spans="1:25" hidden="1" x14ac:dyDescent="0.3">
      <c r="A618">
        <v>238</v>
      </c>
      <c r="B618" t="s">
        <v>254</v>
      </c>
      <c r="C618" t="s">
        <v>47</v>
      </c>
      <c r="D618" t="s">
        <v>93</v>
      </c>
      <c r="E618" t="s">
        <v>28</v>
      </c>
      <c r="F618" t="s">
        <v>36</v>
      </c>
      <c r="G618" t="s">
        <v>30</v>
      </c>
      <c r="H618" t="s">
        <v>153</v>
      </c>
      <c r="I618">
        <v>90</v>
      </c>
      <c r="J618" t="s">
        <v>255</v>
      </c>
      <c r="K618" t="s">
        <v>155</v>
      </c>
      <c r="L618" t="s">
        <v>264</v>
      </c>
      <c r="M618" t="s">
        <v>265</v>
      </c>
      <c r="N618" s="3" t="s">
        <v>59</v>
      </c>
      <c r="O618" s="3" t="s">
        <v>59</v>
      </c>
      <c r="P618" s="3" t="s">
        <v>59</v>
      </c>
      <c r="Q618" s="3" t="s">
        <v>59</v>
      </c>
      <c r="R618" s="3">
        <v>100</v>
      </c>
      <c r="S618" s="3" t="s">
        <v>59</v>
      </c>
      <c r="T618" s="3" t="s">
        <v>59</v>
      </c>
      <c r="U618" s="3" t="s">
        <v>59</v>
      </c>
      <c r="V618" s="3">
        <v>50</v>
      </c>
      <c r="W618" s="3" t="s">
        <v>59</v>
      </c>
      <c r="X618" s="3" t="s">
        <v>59</v>
      </c>
      <c r="Y618" s="3" t="s">
        <v>59</v>
      </c>
    </row>
    <row r="619" spans="1:25" hidden="1" x14ac:dyDescent="0.3">
      <c r="A619">
        <v>238</v>
      </c>
      <c r="B619" t="s">
        <v>254</v>
      </c>
      <c r="C619" t="s">
        <v>47</v>
      </c>
      <c r="D619" t="s">
        <v>93</v>
      </c>
      <c r="E619" t="s">
        <v>28</v>
      </c>
      <c r="F619" t="s">
        <v>36</v>
      </c>
      <c r="G619" t="s">
        <v>30</v>
      </c>
      <c r="H619" t="s">
        <v>153</v>
      </c>
      <c r="I619">
        <v>90</v>
      </c>
      <c r="J619" t="s">
        <v>255</v>
      </c>
      <c r="K619" t="s">
        <v>155</v>
      </c>
      <c r="L619" t="s">
        <v>266</v>
      </c>
      <c r="M619" t="s">
        <v>267</v>
      </c>
      <c r="N619" s="3" t="s">
        <v>59</v>
      </c>
      <c r="O619" s="3" t="s">
        <v>59</v>
      </c>
      <c r="P619" s="3">
        <v>100</v>
      </c>
      <c r="Q619" s="3">
        <v>100</v>
      </c>
      <c r="R619" s="3">
        <v>100</v>
      </c>
      <c r="S619" s="3">
        <v>100</v>
      </c>
      <c r="T619" s="3">
        <v>100</v>
      </c>
      <c r="U619" s="3">
        <v>100</v>
      </c>
      <c r="V619" s="3">
        <v>100</v>
      </c>
      <c r="W619" s="3">
        <v>100</v>
      </c>
      <c r="X619" s="3">
        <v>100</v>
      </c>
      <c r="Y619" s="3">
        <v>100</v>
      </c>
    </row>
    <row r="620" spans="1:25" hidden="1" x14ac:dyDescent="0.3">
      <c r="A620">
        <v>238</v>
      </c>
      <c r="B620" t="s">
        <v>254</v>
      </c>
      <c r="C620" t="s">
        <v>47</v>
      </c>
      <c r="D620" t="s">
        <v>93</v>
      </c>
      <c r="E620" t="s">
        <v>28</v>
      </c>
      <c r="F620" t="s">
        <v>36</v>
      </c>
      <c r="G620" t="s">
        <v>30</v>
      </c>
      <c r="H620" t="s">
        <v>153</v>
      </c>
      <c r="I620">
        <v>90</v>
      </c>
      <c r="J620" t="s">
        <v>255</v>
      </c>
      <c r="K620" t="s">
        <v>155</v>
      </c>
      <c r="L620" t="s">
        <v>268</v>
      </c>
      <c r="M620" t="s">
        <v>269</v>
      </c>
      <c r="N620" s="3" t="s">
        <v>59</v>
      </c>
      <c r="O620" s="3" t="s">
        <v>59</v>
      </c>
      <c r="P620" s="3" t="s">
        <v>59</v>
      </c>
      <c r="Q620" s="3" t="s">
        <v>59</v>
      </c>
      <c r="R620" s="3">
        <v>100</v>
      </c>
      <c r="S620" s="3" t="s">
        <v>59</v>
      </c>
      <c r="T620" s="3" t="s">
        <v>59</v>
      </c>
      <c r="U620" s="3" t="s">
        <v>59</v>
      </c>
      <c r="V620" s="3">
        <v>100</v>
      </c>
      <c r="W620" s="3" t="s">
        <v>59</v>
      </c>
      <c r="X620" s="3" t="s">
        <v>59</v>
      </c>
      <c r="Y620" s="3" t="s">
        <v>59</v>
      </c>
    </row>
    <row r="621" spans="1:25" hidden="1" x14ac:dyDescent="0.3">
      <c r="A621">
        <v>238</v>
      </c>
      <c r="B621" t="s">
        <v>254</v>
      </c>
      <c r="C621" t="s">
        <v>47</v>
      </c>
      <c r="D621" t="s">
        <v>93</v>
      </c>
      <c r="E621" t="s">
        <v>28</v>
      </c>
      <c r="F621" t="s">
        <v>36</v>
      </c>
      <c r="G621" t="s">
        <v>30</v>
      </c>
      <c r="H621" t="s">
        <v>153</v>
      </c>
      <c r="I621">
        <v>90</v>
      </c>
      <c r="J621" t="s">
        <v>255</v>
      </c>
      <c r="K621" t="s">
        <v>155</v>
      </c>
      <c r="L621" t="s">
        <v>270</v>
      </c>
      <c r="M621" t="s">
        <v>271</v>
      </c>
      <c r="N621" s="3" t="s">
        <v>59</v>
      </c>
      <c r="O621" s="3" t="s">
        <v>59</v>
      </c>
      <c r="P621" s="3">
        <v>60</v>
      </c>
      <c r="Q621" s="3">
        <v>100</v>
      </c>
      <c r="R621" s="3">
        <v>100</v>
      </c>
      <c r="S621" s="3" t="s">
        <v>59</v>
      </c>
      <c r="T621" s="3">
        <v>100</v>
      </c>
      <c r="U621" s="3">
        <v>50</v>
      </c>
      <c r="V621" s="3">
        <v>80</v>
      </c>
      <c r="W621" s="3">
        <v>100</v>
      </c>
      <c r="X621" s="3">
        <v>100</v>
      </c>
      <c r="Y621" s="3">
        <v>100</v>
      </c>
    </row>
    <row r="622" spans="1:25" hidden="1" x14ac:dyDescent="0.3">
      <c r="A622" s="1">
        <v>240</v>
      </c>
      <c r="B622" s="1" t="s">
        <v>285</v>
      </c>
      <c r="C622" s="1" t="s">
        <v>26</v>
      </c>
      <c r="D622" s="1" t="s">
        <v>273</v>
      </c>
      <c r="E622" s="1" t="s">
        <v>28</v>
      </c>
      <c r="F622" s="1" t="s">
        <v>36</v>
      </c>
      <c r="G622" s="1" t="s">
        <v>30</v>
      </c>
      <c r="H622" s="1" t="s">
        <v>31</v>
      </c>
      <c r="I622" s="1">
        <v>100</v>
      </c>
      <c r="J622" s="1" t="s">
        <v>286</v>
      </c>
      <c r="K622" s="1" t="s">
        <v>33</v>
      </c>
      <c r="L622" s="1" t="s">
        <v>33</v>
      </c>
      <c r="M622" s="1" t="s">
        <v>34</v>
      </c>
      <c r="N622" s="3"/>
      <c r="O622" s="4">
        <v>100</v>
      </c>
      <c r="P622" s="4">
        <v>100</v>
      </c>
      <c r="Q622" s="4">
        <v>100</v>
      </c>
      <c r="R622" s="4">
        <v>100</v>
      </c>
      <c r="S622" s="4">
        <v>100</v>
      </c>
      <c r="T622" s="4">
        <v>100</v>
      </c>
      <c r="U622" s="6">
        <v>91.666666666666657</v>
      </c>
      <c r="V622" s="6">
        <v>80</v>
      </c>
      <c r="W622" s="6">
        <v>80</v>
      </c>
      <c r="X622" s="7">
        <v>60</v>
      </c>
      <c r="Y622" s="7">
        <v>40</v>
      </c>
    </row>
    <row r="623" spans="1:25" hidden="1" x14ac:dyDescent="0.3">
      <c r="A623" s="1">
        <v>251</v>
      </c>
      <c r="B623" s="1" t="s">
        <v>297</v>
      </c>
      <c r="C623" s="1" t="s">
        <v>47</v>
      </c>
      <c r="D623" s="1" t="s">
        <v>298</v>
      </c>
      <c r="E623" s="1" t="s">
        <v>28</v>
      </c>
      <c r="F623" s="1" t="s">
        <v>36</v>
      </c>
      <c r="G623" s="1" t="s">
        <v>30</v>
      </c>
      <c r="H623" s="1" t="s">
        <v>31</v>
      </c>
      <c r="I623" s="1">
        <v>100</v>
      </c>
      <c r="J623" s="1" t="s">
        <v>299</v>
      </c>
      <c r="K623" s="1" t="s">
        <v>33</v>
      </c>
      <c r="L623" s="1" t="s">
        <v>33</v>
      </c>
      <c r="M623" s="1" t="s">
        <v>34</v>
      </c>
      <c r="N623" s="4">
        <v>100</v>
      </c>
      <c r="O623" s="6">
        <v>96.08</v>
      </c>
      <c r="P623" s="6">
        <v>82.35</v>
      </c>
      <c r="Q623" s="3" t="s">
        <v>59</v>
      </c>
      <c r="R623" s="6">
        <v>96.226415094339629</v>
      </c>
      <c r="S623" s="6">
        <v>96.226415094339629</v>
      </c>
      <c r="T623" s="6">
        <v>92.452830188679243</v>
      </c>
      <c r="U623" s="3" t="s">
        <v>59</v>
      </c>
      <c r="V623" s="4">
        <v>100</v>
      </c>
      <c r="W623" s="4">
        <v>100</v>
      </c>
      <c r="X623" s="6">
        <v>93.877551020408163</v>
      </c>
      <c r="Y623" s="3"/>
    </row>
    <row r="624" spans="1:25" hidden="1" x14ac:dyDescent="0.3">
      <c r="A624" s="1">
        <v>254</v>
      </c>
      <c r="B624" s="1" t="s">
        <v>302</v>
      </c>
      <c r="C624" s="1" t="s">
        <v>47</v>
      </c>
      <c r="D624" s="1" t="s">
        <v>303</v>
      </c>
      <c r="E624" s="1" t="s">
        <v>28</v>
      </c>
      <c r="F624" s="1" t="s">
        <v>36</v>
      </c>
      <c r="G624" s="1" t="s">
        <v>30</v>
      </c>
      <c r="H624" s="1" t="s">
        <v>31</v>
      </c>
      <c r="I624" s="1">
        <v>100</v>
      </c>
      <c r="J624" s="1" t="s">
        <v>304</v>
      </c>
      <c r="K624" s="1" t="s">
        <v>33</v>
      </c>
      <c r="L624" s="1" t="s">
        <v>33</v>
      </c>
      <c r="M624" s="1" t="s">
        <v>34</v>
      </c>
      <c r="N624" s="4">
        <v>100</v>
      </c>
      <c r="O624" s="4">
        <v>100</v>
      </c>
      <c r="P624" s="4">
        <v>100</v>
      </c>
      <c r="Q624" s="4">
        <v>100</v>
      </c>
      <c r="R624" s="4">
        <v>100</v>
      </c>
    </row>
    <row r="625" spans="1:25" hidden="1" x14ac:dyDescent="0.3">
      <c r="A625" s="1">
        <v>263</v>
      </c>
      <c r="B625" s="1" t="s">
        <v>329</v>
      </c>
      <c r="C625" s="1" t="s">
        <v>47</v>
      </c>
      <c r="D625" s="1" t="s">
        <v>327</v>
      </c>
      <c r="E625" s="1" t="s">
        <v>40</v>
      </c>
      <c r="F625" s="1" t="s">
        <v>36</v>
      </c>
      <c r="G625" s="1" t="s">
        <v>30</v>
      </c>
      <c r="H625" s="1" t="s">
        <v>31</v>
      </c>
      <c r="I625" s="1">
        <v>100</v>
      </c>
      <c r="J625" s="1" t="s">
        <v>330</v>
      </c>
      <c r="K625" s="1" t="s">
        <v>33</v>
      </c>
      <c r="L625" s="1" t="s">
        <v>33</v>
      </c>
      <c r="M625" s="1" t="s">
        <v>34</v>
      </c>
      <c r="N625" s="4">
        <v>100</v>
      </c>
      <c r="O625" s="4">
        <v>100</v>
      </c>
      <c r="P625" s="4">
        <v>100</v>
      </c>
      <c r="Q625" s="4">
        <v>100</v>
      </c>
      <c r="R625" s="4">
        <v>100</v>
      </c>
      <c r="S625" s="4">
        <v>100</v>
      </c>
      <c r="T625" s="4">
        <v>100</v>
      </c>
      <c r="U625" s="4">
        <v>100</v>
      </c>
      <c r="V625" s="4">
        <v>100</v>
      </c>
      <c r="W625" s="4">
        <v>100</v>
      </c>
      <c r="X625" s="4">
        <v>100</v>
      </c>
      <c r="Y625" s="4">
        <v>100</v>
      </c>
    </row>
    <row r="626" spans="1:25" hidden="1" x14ac:dyDescent="0.3">
      <c r="A626" s="1">
        <v>265</v>
      </c>
      <c r="B626" s="1" t="s">
        <v>331</v>
      </c>
      <c r="C626" s="1" t="s">
        <v>47</v>
      </c>
      <c r="D626" s="1" t="s">
        <v>327</v>
      </c>
      <c r="E626" s="1" t="s">
        <v>40</v>
      </c>
      <c r="F626" s="1" t="s">
        <v>36</v>
      </c>
      <c r="G626" s="1" t="s">
        <v>30</v>
      </c>
      <c r="H626" s="1" t="s">
        <v>31</v>
      </c>
      <c r="I626" s="1">
        <v>95</v>
      </c>
      <c r="J626" s="1" t="s">
        <v>332</v>
      </c>
      <c r="K626" s="1" t="s">
        <v>33</v>
      </c>
      <c r="L626" s="1" t="s">
        <v>33</v>
      </c>
      <c r="M626" s="1" t="s">
        <v>34</v>
      </c>
      <c r="N626" s="4">
        <v>100</v>
      </c>
      <c r="O626" s="4">
        <v>100</v>
      </c>
      <c r="P626" s="4">
        <v>100</v>
      </c>
      <c r="Q626" s="3" t="s">
        <v>59</v>
      </c>
      <c r="R626" s="4">
        <v>100</v>
      </c>
      <c r="S626" s="3" t="s">
        <v>59</v>
      </c>
      <c r="T626" s="4">
        <v>100</v>
      </c>
      <c r="U626" s="3" t="s">
        <v>59</v>
      </c>
      <c r="V626" s="6">
        <v>97.13</v>
      </c>
      <c r="W626" s="3" t="s">
        <v>59</v>
      </c>
      <c r="X626" s="6">
        <v>80</v>
      </c>
      <c r="Y626" s="3" t="s">
        <v>59</v>
      </c>
    </row>
    <row r="627" spans="1:25" hidden="1" x14ac:dyDescent="0.3">
      <c r="A627" s="1">
        <v>266</v>
      </c>
      <c r="B627" s="1" t="s">
        <v>333</v>
      </c>
      <c r="C627" s="1" t="s">
        <v>47</v>
      </c>
      <c r="D627" s="1" t="s">
        <v>327</v>
      </c>
      <c r="E627" s="1" t="s">
        <v>40</v>
      </c>
      <c r="F627" s="1" t="s">
        <v>36</v>
      </c>
      <c r="G627" s="1" t="s">
        <v>30</v>
      </c>
      <c r="H627" s="1" t="s">
        <v>31</v>
      </c>
      <c r="I627" s="1">
        <v>95</v>
      </c>
      <c r="J627" s="1" t="s">
        <v>334</v>
      </c>
      <c r="K627" s="1" t="s">
        <v>33</v>
      </c>
      <c r="L627" s="1" t="s">
        <v>33</v>
      </c>
      <c r="M627" s="1" t="s">
        <v>34</v>
      </c>
      <c r="N627" s="4">
        <v>96.2</v>
      </c>
      <c r="O627" s="6">
        <v>80</v>
      </c>
      <c r="P627" s="7">
        <v>53.15</v>
      </c>
      <c r="Q627" s="3" t="s">
        <v>59</v>
      </c>
      <c r="R627" s="6">
        <v>81.93</v>
      </c>
      <c r="S627" s="3" t="s">
        <v>59</v>
      </c>
      <c r="T627" s="4">
        <v>95.02</v>
      </c>
      <c r="U627" s="3" t="s">
        <v>59</v>
      </c>
      <c r="V627" s="4">
        <v>97.07</v>
      </c>
      <c r="W627" s="3" t="s">
        <v>59</v>
      </c>
      <c r="X627" s="6">
        <v>89.907038512615998</v>
      </c>
      <c r="Y627" s="3" t="s">
        <v>59</v>
      </c>
    </row>
    <row r="628" spans="1:25" hidden="1" x14ac:dyDescent="0.3">
      <c r="A628" s="1">
        <v>300</v>
      </c>
      <c r="B628" s="1" t="s">
        <v>428</v>
      </c>
      <c r="C628" s="1" t="s">
        <v>26</v>
      </c>
      <c r="D628" s="1" t="s">
        <v>429</v>
      </c>
      <c r="E628" s="1" t="s">
        <v>28</v>
      </c>
      <c r="F628" s="1" t="s">
        <v>36</v>
      </c>
      <c r="G628" s="1" t="s">
        <v>30</v>
      </c>
      <c r="H628" s="1" t="s">
        <v>31</v>
      </c>
      <c r="I628" s="1">
        <v>100</v>
      </c>
      <c r="J628" s="1" t="s">
        <v>430</v>
      </c>
      <c r="K628" s="1" t="s">
        <v>33</v>
      </c>
      <c r="L628" s="1" t="s">
        <v>33</v>
      </c>
      <c r="M628" s="1" t="s">
        <v>34</v>
      </c>
      <c r="N628" s="4">
        <v>100</v>
      </c>
      <c r="O628" s="4">
        <v>100</v>
      </c>
      <c r="P628" s="4">
        <v>100</v>
      </c>
      <c r="Q628" s="4">
        <v>100</v>
      </c>
      <c r="R628" s="4">
        <v>100</v>
      </c>
      <c r="S628" s="4">
        <v>100</v>
      </c>
      <c r="T628" s="4">
        <v>100</v>
      </c>
      <c r="U628" s="4">
        <v>100</v>
      </c>
      <c r="V628" s="4">
        <v>100</v>
      </c>
      <c r="W628" s="4">
        <v>100</v>
      </c>
      <c r="X628" s="4">
        <v>100</v>
      </c>
      <c r="Y628" s="4">
        <v>100</v>
      </c>
    </row>
    <row r="629" spans="1:25" hidden="1" x14ac:dyDescent="0.3">
      <c r="A629" s="1">
        <v>301</v>
      </c>
      <c r="B629" s="1" t="s">
        <v>431</v>
      </c>
      <c r="C629" s="1" t="s">
        <v>26</v>
      </c>
      <c r="D629" s="1" t="s">
        <v>429</v>
      </c>
      <c r="E629" s="1" t="s">
        <v>28</v>
      </c>
      <c r="F629" s="1" t="s">
        <v>36</v>
      </c>
      <c r="G629" s="1" t="s">
        <v>30</v>
      </c>
      <c r="H629" s="1" t="s">
        <v>31</v>
      </c>
      <c r="I629" s="1">
        <v>100</v>
      </c>
      <c r="J629" s="1" t="s">
        <v>432</v>
      </c>
      <c r="K629" s="1" t="s">
        <v>33</v>
      </c>
      <c r="L629" s="1" t="s">
        <v>33</v>
      </c>
      <c r="M629" s="1" t="s">
        <v>34</v>
      </c>
      <c r="N629" s="4">
        <v>100</v>
      </c>
      <c r="O629" s="4">
        <v>100</v>
      </c>
      <c r="P629" s="4">
        <v>100</v>
      </c>
      <c r="Q629" s="4">
        <v>100</v>
      </c>
      <c r="R629" s="4">
        <v>100</v>
      </c>
      <c r="S629" s="4">
        <v>100</v>
      </c>
      <c r="T629" s="4">
        <v>100</v>
      </c>
      <c r="U629" s="4">
        <v>100</v>
      </c>
      <c r="V629" s="4">
        <v>100</v>
      </c>
      <c r="W629" s="4">
        <v>100</v>
      </c>
      <c r="X629" s="4">
        <v>100</v>
      </c>
      <c r="Y629" s="4">
        <v>100</v>
      </c>
    </row>
    <row r="630" spans="1:25" hidden="1" x14ac:dyDescent="0.3">
      <c r="A630" s="1">
        <v>306</v>
      </c>
      <c r="B630" s="1" t="s">
        <v>448</v>
      </c>
      <c r="C630" s="1" t="s">
        <v>47</v>
      </c>
      <c r="D630" s="1" t="s">
        <v>298</v>
      </c>
      <c r="E630" s="1" t="s">
        <v>28</v>
      </c>
      <c r="F630" s="1" t="s">
        <v>36</v>
      </c>
      <c r="G630" s="1" t="s">
        <v>30</v>
      </c>
      <c r="H630" s="1" t="s">
        <v>153</v>
      </c>
      <c r="I630" s="1">
        <v>100</v>
      </c>
      <c r="J630" s="1" t="s">
        <v>449</v>
      </c>
      <c r="K630" s="1" t="s">
        <v>186</v>
      </c>
      <c r="L630" s="1" t="s">
        <v>34</v>
      </c>
      <c r="M630" s="1" t="s">
        <v>34</v>
      </c>
      <c r="N630" s="3"/>
      <c r="O630" s="5">
        <v>105.83</v>
      </c>
      <c r="P630" s="5">
        <v>108.67</v>
      </c>
      <c r="Q630" s="3" t="s">
        <v>59</v>
      </c>
      <c r="R630" s="4">
        <v>101</v>
      </c>
      <c r="S630" s="7">
        <v>0</v>
      </c>
      <c r="T630" s="5">
        <v>601</v>
      </c>
      <c r="U630" s="7">
        <v>0</v>
      </c>
      <c r="V630" s="5">
        <v>626</v>
      </c>
      <c r="W630" s="7">
        <v>0</v>
      </c>
      <c r="X630" s="7">
        <v>0</v>
      </c>
      <c r="Y630" s="3">
        <v>0</v>
      </c>
    </row>
    <row r="631" spans="1:25" hidden="1" x14ac:dyDescent="0.3">
      <c r="A631">
        <v>306</v>
      </c>
      <c r="B631" t="s">
        <v>448</v>
      </c>
      <c r="C631" t="s">
        <v>47</v>
      </c>
      <c r="D631" t="s">
        <v>298</v>
      </c>
      <c r="E631" t="s">
        <v>28</v>
      </c>
      <c r="F631" t="s">
        <v>36</v>
      </c>
      <c r="G631" t="s">
        <v>30</v>
      </c>
      <c r="H631" t="s">
        <v>153</v>
      </c>
      <c r="I631">
        <v>100</v>
      </c>
      <c r="J631" t="s">
        <v>449</v>
      </c>
      <c r="K631" t="s">
        <v>186</v>
      </c>
      <c r="L631" t="s">
        <v>450</v>
      </c>
      <c r="M631" t="s">
        <v>451</v>
      </c>
      <c r="N631" s="3" t="s">
        <v>59</v>
      </c>
      <c r="O631" s="3">
        <v>100</v>
      </c>
      <c r="P631" s="3">
        <v>104</v>
      </c>
      <c r="Q631" s="3" t="s">
        <v>59</v>
      </c>
      <c r="R631" s="3">
        <v>98</v>
      </c>
      <c r="S631" s="3" t="s">
        <v>59</v>
      </c>
      <c r="T631" s="3" t="s">
        <v>59</v>
      </c>
      <c r="U631" s="3" t="s">
        <v>59</v>
      </c>
      <c r="V631" s="3" t="s">
        <v>59</v>
      </c>
      <c r="W631" s="3" t="s">
        <v>59</v>
      </c>
      <c r="X631" s="3">
        <v>105</v>
      </c>
      <c r="Y631" s="3" t="s">
        <v>59</v>
      </c>
    </row>
    <row r="632" spans="1:25" hidden="1" x14ac:dyDescent="0.3">
      <c r="A632">
        <v>306</v>
      </c>
      <c r="B632" t="s">
        <v>448</v>
      </c>
      <c r="C632" t="s">
        <v>47</v>
      </c>
      <c r="D632" t="s">
        <v>298</v>
      </c>
      <c r="E632" t="s">
        <v>28</v>
      </c>
      <c r="F632" t="s">
        <v>36</v>
      </c>
      <c r="G632" t="s">
        <v>30</v>
      </c>
      <c r="H632" t="s">
        <v>153</v>
      </c>
      <c r="I632">
        <v>100</v>
      </c>
      <c r="J632" t="s">
        <v>449</v>
      </c>
      <c r="K632" t="s">
        <v>186</v>
      </c>
      <c r="L632" t="s">
        <v>452</v>
      </c>
      <c r="M632" t="s">
        <v>453</v>
      </c>
      <c r="N632" s="3" t="s">
        <v>59</v>
      </c>
      <c r="O632" s="3">
        <v>105</v>
      </c>
      <c r="P632" s="3">
        <v>105</v>
      </c>
      <c r="Q632" s="3" t="s">
        <v>59</v>
      </c>
      <c r="R632" s="3">
        <v>108</v>
      </c>
      <c r="S632" s="3" t="s">
        <v>59</v>
      </c>
      <c r="T632" s="3" t="s">
        <v>59</v>
      </c>
      <c r="U632" s="3" t="s">
        <v>59</v>
      </c>
      <c r="V632" s="3">
        <v>102</v>
      </c>
      <c r="W632" s="3" t="s">
        <v>59</v>
      </c>
      <c r="X632" s="3">
        <v>101</v>
      </c>
      <c r="Y632" s="3" t="s">
        <v>59</v>
      </c>
    </row>
    <row r="633" spans="1:25" hidden="1" x14ac:dyDescent="0.3">
      <c r="A633">
        <v>306</v>
      </c>
      <c r="B633" t="s">
        <v>448</v>
      </c>
      <c r="C633" t="s">
        <v>47</v>
      </c>
      <c r="D633" t="s">
        <v>298</v>
      </c>
      <c r="E633" t="s">
        <v>28</v>
      </c>
      <c r="F633" t="s">
        <v>36</v>
      </c>
      <c r="G633" t="s">
        <v>30</v>
      </c>
      <c r="H633" t="s">
        <v>153</v>
      </c>
      <c r="I633">
        <v>100</v>
      </c>
      <c r="J633" t="s">
        <v>449</v>
      </c>
      <c r="K633" t="s">
        <v>186</v>
      </c>
      <c r="L633" t="s">
        <v>454</v>
      </c>
      <c r="M633" t="s">
        <v>455</v>
      </c>
      <c r="N633" s="3" t="s">
        <v>59</v>
      </c>
      <c r="O633" s="3">
        <v>119</v>
      </c>
      <c r="P633" s="3">
        <v>127</v>
      </c>
      <c r="Q633" s="3" t="s">
        <v>59</v>
      </c>
      <c r="R633" s="3">
        <v>91</v>
      </c>
      <c r="S633" s="3" t="s">
        <v>59</v>
      </c>
      <c r="T633" s="3">
        <v>103</v>
      </c>
      <c r="U633" s="3" t="s">
        <v>59</v>
      </c>
      <c r="V633" s="3" t="s">
        <v>59</v>
      </c>
      <c r="W633" s="3" t="s">
        <v>59</v>
      </c>
      <c r="X633" s="3">
        <v>148</v>
      </c>
      <c r="Y633" s="3" t="s">
        <v>59</v>
      </c>
    </row>
    <row r="634" spans="1:25" hidden="1" x14ac:dyDescent="0.3">
      <c r="A634">
        <v>306</v>
      </c>
      <c r="B634" t="s">
        <v>448</v>
      </c>
      <c r="C634" t="s">
        <v>47</v>
      </c>
      <c r="D634" t="s">
        <v>298</v>
      </c>
      <c r="E634" t="s">
        <v>28</v>
      </c>
      <c r="F634" t="s">
        <v>36</v>
      </c>
      <c r="G634" t="s">
        <v>30</v>
      </c>
      <c r="H634" t="s">
        <v>153</v>
      </c>
      <c r="I634">
        <v>100</v>
      </c>
      <c r="J634" t="s">
        <v>449</v>
      </c>
      <c r="K634" t="s">
        <v>186</v>
      </c>
      <c r="L634" t="s">
        <v>456</v>
      </c>
      <c r="M634" t="s">
        <v>457</v>
      </c>
      <c r="N634" s="3" t="s">
        <v>59</v>
      </c>
      <c r="O634" s="3">
        <v>104</v>
      </c>
      <c r="P634" s="3">
        <v>102</v>
      </c>
      <c r="Q634" s="3" t="s">
        <v>59</v>
      </c>
      <c r="R634" s="3">
        <v>100</v>
      </c>
      <c r="S634" s="3" t="s">
        <v>59</v>
      </c>
      <c r="T634" s="3" t="s">
        <v>59</v>
      </c>
      <c r="U634" s="3" t="s">
        <v>59</v>
      </c>
      <c r="V634" s="3" t="s">
        <v>59</v>
      </c>
      <c r="W634" s="3" t="s">
        <v>59</v>
      </c>
      <c r="X634" s="3">
        <v>99</v>
      </c>
      <c r="Y634" s="3" t="s">
        <v>59</v>
      </c>
    </row>
    <row r="635" spans="1:25" hidden="1" x14ac:dyDescent="0.3">
      <c r="A635">
        <v>306</v>
      </c>
      <c r="B635" t="s">
        <v>448</v>
      </c>
      <c r="C635" t="s">
        <v>47</v>
      </c>
      <c r="D635" t="s">
        <v>298</v>
      </c>
      <c r="E635" t="s">
        <v>28</v>
      </c>
      <c r="F635" t="s">
        <v>36</v>
      </c>
      <c r="G635" t="s">
        <v>30</v>
      </c>
      <c r="H635" t="s">
        <v>153</v>
      </c>
      <c r="I635">
        <v>100</v>
      </c>
      <c r="J635" t="s">
        <v>449</v>
      </c>
      <c r="K635" t="s">
        <v>186</v>
      </c>
      <c r="L635" t="s">
        <v>458</v>
      </c>
      <c r="M635" t="s">
        <v>459</v>
      </c>
      <c r="N635" s="3" t="s">
        <v>59</v>
      </c>
      <c r="O635" s="3">
        <v>103</v>
      </c>
      <c r="P635" s="3">
        <v>106</v>
      </c>
      <c r="Q635" s="3" t="s">
        <v>59</v>
      </c>
      <c r="R635" s="3">
        <v>101</v>
      </c>
      <c r="S635" s="3" t="s">
        <v>59</v>
      </c>
      <c r="T635" s="3" t="s">
        <v>59</v>
      </c>
      <c r="U635" s="3" t="s">
        <v>59</v>
      </c>
      <c r="V635" s="3" t="s">
        <v>59</v>
      </c>
      <c r="W635" s="3">
        <v>98</v>
      </c>
      <c r="X635" s="3">
        <v>97</v>
      </c>
      <c r="Y635" s="3" t="s">
        <v>59</v>
      </c>
    </row>
    <row r="636" spans="1:25" hidden="1" x14ac:dyDescent="0.3">
      <c r="A636">
        <v>306</v>
      </c>
      <c r="B636" t="s">
        <v>448</v>
      </c>
      <c r="C636" t="s">
        <v>47</v>
      </c>
      <c r="D636" t="s">
        <v>298</v>
      </c>
      <c r="E636" t="s">
        <v>28</v>
      </c>
      <c r="F636" t="s">
        <v>36</v>
      </c>
      <c r="G636" t="s">
        <v>30</v>
      </c>
      <c r="H636" t="s">
        <v>153</v>
      </c>
      <c r="I636">
        <v>100</v>
      </c>
      <c r="J636" t="s">
        <v>449</v>
      </c>
      <c r="K636" t="s">
        <v>186</v>
      </c>
      <c r="L636" t="s">
        <v>460</v>
      </c>
      <c r="M636" t="s">
        <v>461</v>
      </c>
      <c r="N636" s="3" t="s">
        <v>59</v>
      </c>
      <c r="O636" s="3">
        <v>104</v>
      </c>
      <c r="P636" s="3">
        <v>108</v>
      </c>
      <c r="Q636" s="3" t="s">
        <v>59</v>
      </c>
      <c r="R636" s="3">
        <v>108</v>
      </c>
      <c r="S636" s="3" t="s">
        <v>59</v>
      </c>
      <c r="T636" s="3" t="s">
        <v>59</v>
      </c>
      <c r="U636" s="3" t="s">
        <v>59</v>
      </c>
      <c r="V636" s="3">
        <v>113</v>
      </c>
      <c r="W636" s="3" t="s">
        <v>59</v>
      </c>
      <c r="X636" s="3">
        <v>173</v>
      </c>
      <c r="Y636" s="3" t="s">
        <v>59</v>
      </c>
    </row>
    <row r="637" spans="1:25" hidden="1" x14ac:dyDescent="0.3">
      <c r="A637" s="1">
        <v>347</v>
      </c>
      <c r="B637" s="1" t="s">
        <v>494</v>
      </c>
      <c r="C637" s="1" t="s">
        <v>26</v>
      </c>
      <c r="D637" s="1" t="s">
        <v>495</v>
      </c>
      <c r="E637" s="1" t="s">
        <v>28</v>
      </c>
      <c r="F637" s="1" t="s">
        <v>36</v>
      </c>
      <c r="G637" s="1" t="s">
        <v>41</v>
      </c>
      <c r="H637" s="1" t="s">
        <v>31</v>
      </c>
      <c r="I637" s="1">
        <v>5</v>
      </c>
      <c r="J637" s="1" t="s">
        <v>496</v>
      </c>
      <c r="K637" s="1" t="s">
        <v>33</v>
      </c>
      <c r="L637" s="1" t="s">
        <v>33</v>
      </c>
      <c r="M637" s="1" t="s">
        <v>34</v>
      </c>
      <c r="N637" s="5">
        <v>1</v>
      </c>
      <c r="O637" s="6">
        <v>6</v>
      </c>
      <c r="P637" s="5">
        <v>1</v>
      </c>
      <c r="Q637" s="5">
        <v>1</v>
      </c>
      <c r="R637" s="5">
        <v>0</v>
      </c>
      <c r="S637" s="5">
        <v>0</v>
      </c>
      <c r="T637" s="4">
        <v>3</v>
      </c>
      <c r="U637" s="5">
        <v>0</v>
      </c>
      <c r="V637" s="6">
        <v>2</v>
      </c>
      <c r="W637" s="6">
        <v>12</v>
      </c>
      <c r="X637" s="6">
        <v>8</v>
      </c>
      <c r="Y637" s="6">
        <v>5</v>
      </c>
    </row>
    <row r="638" spans="1:25" hidden="1" x14ac:dyDescent="0.3">
      <c r="A638" s="1">
        <v>348</v>
      </c>
      <c r="B638" s="1" t="s">
        <v>497</v>
      </c>
      <c r="C638" s="1" t="s">
        <v>26</v>
      </c>
      <c r="D638" s="1" t="s">
        <v>495</v>
      </c>
      <c r="E638" s="1" t="s">
        <v>28</v>
      </c>
      <c r="F638" s="1" t="s">
        <v>36</v>
      </c>
      <c r="G638" s="1" t="s">
        <v>30</v>
      </c>
      <c r="H638" s="1" t="s">
        <v>31</v>
      </c>
      <c r="I638" s="1">
        <v>99</v>
      </c>
      <c r="J638" s="1" t="s">
        <v>498</v>
      </c>
      <c r="K638" s="1" t="s">
        <v>33</v>
      </c>
      <c r="L638" s="1" t="s">
        <v>33</v>
      </c>
      <c r="M638" s="1" t="s">
        <v>34</v>
      </c>
      <c r="N638" s="4">
        <v>100</v>
      </c>
      <c r="O638" s="4">
        <v>100</v>
      </c>
      <c r="P638" s="4">
        <v>100</v>
      </c>
      <c r="Q638" s="4">
        <v>100</v>
      </c>
      <c r="R638" s="4">
        <v>100</v>
      </c>
      <c r="S638" s="4">
        <v>100</v>
      </c>
      <c r="T638" s="4">
        <v>99.9</v>
      </c>
      <c r="U638" s="4">
        <v>99.95</v>
      </c>
      <c r="V638" s="4">
        <v>100</v>
      </c>
      <c r="W638" s="4">
        <v>100</v>
      </c>
      <c r="X638" s="4">
        <v>99.699248120300993</v>
      </c>
      <c r="Y638" s="4">
        <v>99.936143039591002</v>
      </c>
    </row>
    <row r="639" spans="1:25" hidden="1" x14ac:dyDescent="0.3">
      <c r="A639" s="1">
        <v>351</v>
      </c>
      <c r="B639" s="1" t="s">
        <v>499</v>
      </c>
      <c r="C639" s="1" t="s">
        <v>26</v>
      </c>
      <c r="D639" s="1" t="s">
        <v>495</v>
      </c>
      <c r="E639" s="1" t="s">
        <v>28</v>
      </c>
      <c r="F639" s="1" t="s">
        <v>36</v>
      </c>
      <c r="G639" s="1" t="s">
        <v>41</v>
      </c>
      <c r="H639" s="1" t="s">
        <v>31</v>
      </c>
      <c r="I639" s="1">
        <v>5</v>
      </c>
      <c r="J639" s="1" t="s">
        <v>500</v>
      </c>
      <c r="K639" s="1" t="s">
        <v>33</v>
      </c>
      <c r="L639" s="1" t="s">
        <v>33</v>
      </c>
      <c r="M639" s="1" t="s">
        <v>34</v>
      </c>
      <c r="N639" s="3"/>
      <c r="O639" s="4">
        <v>0.26</v>
      </c>
      <c r="P639" s="4">
        <v>0.65</v>
      </c>
      <c r="Q639" s="4">
        <v>0.47</v>
      </c>
      <c r="R639" s="4">
        <v>1.497983483771846</v>
      </c>
      <c r="S639" s="4">
        <v>3.1795721695362609</v>
      </c>
      <c r="T639" s="6">
        <v>12.52996115381436</v>
      </c>
      <c r="U639" s="4">
        <v>4.999240813847555</v>
      </c>
      <c r="V639" s="4">
        <v>3.5442828816920029</v>
      </c>
      <c r="W639" s="6">
        <v>10.29796131730267</v>
      </c>
      <c r="X639" s="6">
        <v>8.2333989618757837</v>
      </c>
      <c r="Y639" s="6">
        <v>11.41868512110727</v>
      </c>
    </row>
    <row r="640" spans="1:25" hidden="1" x14ac:dyDescent="0.3">
      <c r="A640" s="1">
        <v>352</v>
      </c>
      <c r="B640" s="1" t="s">
        <v>501</v>
      </c>
      <c r="C640" s="1" t="s">
        <v>26</v>
      </c>
      <c r="D640" s="1" t="s">
        <v>495</v>
      </c>
      <c r="E640" s="1" t="s">
        <v>28</v>
      </c>
      <c r="F640" s="1" t="s">
        <v>36</v>
      </c>
      <c r="G640" s="1" t="s">
        <v>41</v>
      </c>
      <c r="H640" s="1" t="s">
        <v>31</v>
      </c>
      <c r="I640" s="1">
        <v>0</v>
      </c>
      <c r="J640" s="1" t="s">
        <v>502</v>
      </c>
      <c r="K640" s="1" t="s">
        <v>33</v>
      </c>
      <c r="L640" s="1" t="s">
        <v>33</v>
      </c>
      <c r="M640" s="1" t="s">
        <v>34</v>
      </c>
      <c r="N640" s="3"/>
      <c r="O640" s="4">
        <v>0.01</v>
      </c>
      <c r="P640" s="4">
        <v>0.01</v>
      </c>
      <c r="Q640" s="4">
        <v>0</v>
      </c>
      <c r="R640" s="4">
        <v>0</v>
      </c>
      <c r="S640" s="6">
        <v>9.6518574999758695E-4</v>
      </c>
      <c r="T640" s="6">
        <v>0.14879897966413941</v>
      </c>
      <c r="U640" s="6">
        <v>2.4404380586315239E-2</v>
      </c>
      <c r="V640" s="6">
        <v>0.28327481646983721</v>
      </c>
      <c r="W640" s="6">
        <v>2.5117345096623288E-2</v>
      </c>
      <c r="X640" s="6">
        <v>2.7700831024930751E-2</v>
      </c>
      <c r="Y640" s="6">
        <v>1.0385968556480199E-2</v>
      </c>
    </row>
    <row r="641" spans="1:25" hidden="1" x14ac:dyDescent="0.3">
      <c r="A641" s="1">
        <v>368</v>
      </c>
      <c r="B641" s="1" t="s">
        <v>529</v>
      </c>
      <c r="C641" s="1" t="s">
        <v>26</v>
      </c>
      <c r="D641" s="1" t="s">
        <v>530</v>
      </c>
      <c r="E641" s="1" t="s">
        <v>44</v>
      </c>
      <c r="F641" s="1" t="s">
        <v>36</v>
      </c>
      <c r="G641" s="1" t="s">
        <v>30</v>
      </c>
      <c r="H641" s="1" t="s">
        <v>31</v>
      </c>
      <c r="I641" s="1">
        <v>93</v>
      </c>
      <c r="J641" s="1" t="s">
        <v>531</v>
      </c>
      <c r="K641" s="1" t="s">
        <v>33</v>
      </c>
      <c r="L641" s="1" t="s">
        <v>33</v>
      </c>
      <c r="M641" s="1" t="s">
        <v>34</v>
      </c>
      <c r="N641" s="4">
        <v>95</v>
      </c>
      <c r="O641" s="4">
        <v>95</v>
      </c>
      <c r="P641" s="4">
        <v>96</v>
      </c>
      <c r="Q641" s="4">
        <v>94</v>
      </c>
      <c r="R641" s="4">
        <v>94</v>
      </c>
      <c r="S641" s="4">
        <v>94</v>
      </c>
      <c r="T641" s="4">
        <v>95</v>
      </c>
      <c r="U641" s="4">
        <v>94</v>
      </c>
      <c r="V641" s="4">
        <v>94</v>
      </c>
      <c r="W641" s="4">
        <v>95</v>
      </c>
      <c r="X641" s="3"/>
      <c r="Y641" s="3"/>
    </row>
    <row r="642" spans="1:25" hidden="1" x14ac:dyDescent="0.3">
      <c r="A642" s="1">
        <v>372</v>
      </c>
      <c r="B642" s="1" t="s">
        <v>538</v>
      </c>
      <c r="C642" s="1" t="s">
        <v>26</v>
      </c>
      <c r="D642" s="1" t="s">
        <v>530</v>
      </c>
      <c r="E642" s="1" t="s">
        <v>44</v>
      </c>
      <c r="F642" s="1" t="s">
        <v>36</v>
      </c>
      <c r="G642" s="1" t="s">
        <v>30</v>
      </c>
      <c r="H642" s="1" t="s">
        <v>31</v>
      </c>
      <c r="I642" s="1">
        <v>90</v>
      </c>
      <c r="J642" s="1" t="s">
        <v>539</v>
      </c>
      <c r="K642" s="1" t="s">
        <v>33</v>
      </c>
      <c r="L642" s="1" t="s">
        <v>33</v>
      </c>
      <c r="M642" s="1" t="s">
        <v>34</v>
      </c>
      <c r="N642" s="5">
        <v>97</v>
      </c>
      <c r="O642" s="5">
        <v>97</v>
      </c>
      <c r="P642" s="4">
        <v>90</v>
      </c>
      <c r="Q642" s="5">
        <v>98</v>
      </c>
      <c r="R642" s="5">
        <v>93</v>
      </c>
      <c r="S642" s="4">
        <v>91</v>
      </c>
      <c r="T642" s="4">
        <v>90</v>
      </c>
      <c r="U642" s="5">
        <v>93</v>
      </c>
      <c r="V642" s="5">
        <v>95</v>
      </c>
      <c r="W642" s="5">
        <v>96</v>
      </c>
      <c r="X642" s="3"/>
      <c r="Y642" s="3"/>
    </row>
    <row r="643" spans="1:25" hidden="1" x14ac:dyDescent="0.3">
      <c r="A643" s="1">
        <v>373</v>
      </c>
      <c r="B643" s="1" t="s">
        <v>540</v>
      </c>
      <c r="C643" s="1" t="s">
        <v>47</v>
      </c>
      <c r="D643" s="1" t="s">
        <v>303</v>
      </c>
      <c r="E643" s="1" t="s">
        <v>28</v>
      </c>
      <c r="F643" s="1" t="s">
        <v>36</v>
      </c>
      <c r="G643" s="1" t="s">
        <v>30</v>
      </c>
      <c r="H643" s="1" t="s">
        <v>153</v>
      </c>
      <c r="I643" s="1">
        <v>100</v>
      </c>
      <c r="J643" s="1" t="s">
        <v>541</v>
      </c>
      <c r="K643" s="1" t="s">
        <v>186</v>
      </c>
      <c r="L643" s="1" t="s">
        <v>34</v>
      </c>
      <c r="M643" s="1" t="s">
        <v>34</v>
      </c>
      <c r="N643" s="4">
        <v>99.33</v>
      </c>
      <c r="O643" s="4">
        <v>96.32</v>
      </c>
      <c r="P643" s="5">
        <v>101.75</v>
      </c>
      <c r="Q643" s="5">
        <v>107.46</v>
      </c>
      <c r="R643" s="4">
        <v>98.67</v>
      </c>
      <c r="S643" s="4">
        <v>99.61</v>
      </c>
      <c r="T643" s="5">
        <v>106.8</v>
      </c>
      <c r="U643" s="6">
        <v>89.02</v>
      </c>
      <c r="V643" s="4">
        <v>97.166666666666998</v>
      </c>
      <c r="W643" s="6">
        <v>91.508333333332999</v>
      </c>
      <c r="X643" s="5">
        <v>107.17166666667001</v>
      </c>
      <c r="Y643" s="3">
        <v>0</v>
      </c>
    </row>
    <row r="644" spans="1:25" hidden="1" x14ac:dyDescent="0.3">
      <c r="A644">
        <v>373</v>
      </c>
      <c r="B644" t="s">
        <v>540</v>
      </c>
      <c r="C644" t="s">
        <v>47</v>
      </c>
      <c r="D644" t="s">
        <v>303</v>
      </c>
      <c r="E644" t="s">
        <v>28</v>
      </c>
      <c r="F644" t="s">
        <v>36</v>
      </c>
      <c r="G644" t="s">
        <v>30</v>
      </c>
      <c r="H644" t="s">
        <v>153</v>
      </c>
      <c r="I644">
        <v>100</v>
      </c>
      <c r="J644" t="s">
        <v>541</v>
      </c>
      <c r="K644" t="s">
        <v>186</v>
      </c>
      <c r="L644" t="s">
        <v>450</v>
      </c>
      <c r="M644" t="s">
        <v>451</v>
      </c>
      <c r="N644" s="3">
        <v>100</v>
      </c>
      <c r="O644" s="3">
        <v>96.7</v>
      </c>
      <c r="P644" s="3">
        <v>110.53</v>
      </c>
      <c r="Q644" s="3">
        <v>120.83</v>
      </c>
      <c r="R644" s="3">
        <v>99</v>
      </c>
      <c r="S644" s="3">
        <v>96.47</v>
      </c>
      <c r="T644" s="3" t="s">
        <v>59</v>
      </c>
      <c r="U644" s="3" t="s">
        <v>59</v>
      </c>
      <c r="V644" s="3">
        <v>97</v>
      </c>
      <c r="W644" s="3">
        <v>91.49</v>
      </c>
      <c r="X644" s="3">
        <v>113.56</v>
      </c>
      <c r="Y644" s="3" t="s">
        <v>59</v>
      </c>
    </row>
    <row r="645" spans="1:25" hidden="1" x14ac:dyDescent="0.3">
      <c r="A645">
        <v>373</v>
      </c>
      <c r="B645" t="s">
        <v>540</v>
      </c>
      <c r="C645" t="s">
        <v>47</v>
      </c>
      <c r="D645" t="s">
        <v>303</v>
      </c>
      <c r="E645" t="s">
        <v>28</v>
      </c>
      <c r="F645" t="s">
        <v>36</v>
      </c>
      <c r="G645" t="s">
        <v>30</v>
      </c>
      <c r="H645" t="s">
        <v>153</v>
      </c>
      <c r="I645">
        <v>100</v>
      </c>
      <c r="J645" t="s">
        <v>541</v>
      </c>
      <c r="K645" t="s">
        <v>186</v>
      </c>
      <c r="L645" t="s">
        <v>452</v>
      </c>
      <c r="M645" t="s">
        <v>453</v>
      </c>
      <c r="N645" s="3">
        <v>100</v>
      </c>
      <c r="O645" s="3">
        <v>97.75</v>
      </c>
      <c r="P645" s="3">
        <v>96.55</v>
      </c>
      <c r="Q645" s="3">
        <v>110.53</v>
      </c>
      <c r="R645" s="3">
        <v>98</v>
      </c>
      <c r="S645" s="3">
        <v>100</v>
      </c>
      <c r="T645" s="3" t="s">
        <v>59</v>
      </c>
      <c r="U645" s="3" t="s">
        <v>59</v>
      </c>
      <c r="V645" s="3">
        <v>98</v>
      </c>
      <c r="W645" s="3">
        <v>90.63</v>
      </c>
      <c r="X645" s="3">
        <v>120.75</v>
      </c>
      <c r="Y645" s="3" t="s">
        <v>59</v>
      </c>
    </row>
    <row r="646" spans="1:25" hidden="1" x14ac:dyDescent="0.3">
      <c r="A646">
        <v>373</v>
      </c>
      <c r="B646" t="s">
        <v>540</v>
      </c>
      <c r="C646" t="s">
        <v>47</v>
      </c>
      <c r="D646" t="s">
        <v>303</v>
      </c>
      <c r="E646" t="s">
        <v>28</v>
      </c>
      <c r="F646" t="s">
        <v>36</v>
      </c>
      <c r="G646" t="s">
        <v>30</v>
      </c>
      <c r="H646" t="s">
        <v>153</v>
      </c>
      <c r="I646">
        <v>100</v>
      </c>
      <c r="J646" t="s">
        <v>541</v>
      </c>
      <c r="K646" t="s">
        <v>186</v>
      </c>
      <c r="L646" t="s">
        <v>454</v>
      </c>
      <c r="M646" t="s">
        <v>455</v>
      </c>
      <c r="N646" s="3">
        <v>98</v>
      </c>
      <c r="O646" s="3">
        <v>94.51</v>
      </c>
      <c r="P646" s="3">
        <v>101.69</v>
      </c>
      <c r="Q646" s="3">
        <v>92</v>
      </c>
      <c r="R646" s="3">
        <v>100</v>
      </c>
      <c r="S646" s="3">
        <v>103.45</v>
      </c>
      <c r="T646" s="3" t="s">
        <v>59</v>
      </c>
      <c r="U646" s="3" t="s">
        <v>59</v>
      </c>
      <c r="V646" s="3">
        <v>98</v>
      </c>
      <c r="W646" s="3">
        <v>87.23</v>
      </c>
      <c r="X646" s="3">
        <v>95.59</v>
      </c>
      <c r="Y646" s="3" t="s">
        <v>59</v>
      </c>
    </row>
    <row r="647" spans="1:25" hidden="1" x14ac:dyDescent="0.3">
      <c r="A647">
        <v>373</v>
      </c>
      <c r="B647" t="s">
        <v>540</v>
      </c>
      <c r="C647" t="s">
        <v>47</v>
      </c>
      <c r="D647" t="s">
        <v>303</v>
      </c>
      <c r="E647" t="s">
        <v>28</v>
      </c>
      <c r="F647" t="s">
        <v>36</v>
      </c>
      <c r="G647" t="s">
        <v>30</v>
      </c>
      <c r="H647" t="s">
        <v>153</v>
      </c>
      <c r="I647">
        <v>100</v>
      </c>
      <c r="J647" t="s">
        <v>541</v>
      </c>
      <c r="K647" t="s">
        <v>186</v>
      </c>
      <c r="L647" t="s">
        <v>456</v>
      </c>
      <c r="M647" t="s">
        <v>457</v>
      </c>
      <c r="N647" s="3">
        <v>100</v>
      </c>
      <c r="O647" s="3">
        <v>94.44</v>
      </c>
      <c r="P647" s="3">
        <v>100</v>
      </c>
      <c r="Q647" s="3">
        <v>106.45</v>
      </c>
      <c r="R647" s="3">
        <v>99</v>
      </c>
      <c r="S647" s="3">
        <v>98.78</v>
      </c>
      <c r="T647" s="3" t="s">
        <v>59</v>
      </c>
      <c r="U647" s="3" t="s">
        <v>59</v>
      </c>
      <c r="V647" s="3">
        <v>95</v>
      </c>
      <c r="W647" s="3">
        <v>90.43</v>
      </c>
      <c r="X647" s="3">
        <v>96.97</v>
      </c>
      <c r="Y647" s="3" t="s">
        <v>59</v>
      </c>
    </row>
    <row r="648" spans="1:25" hidden="1" x14ac:dyDescent="0.3">
      <c r="A648">
        <v>373</v>
      </c>
      <c r="B648" t="s">
        <v>540</v>
      </c>
      <c r="C648" t="s">
        <v>47</v>
      </c>
      <c r="D648" t="s">
        <v>303</v>
      </c>
      <c r="E648" t="s">
        <v>28</v>
      </c>
      <c r="F648" t="s">
        <v>36</v>
      </c>
      <c r="G648" t="s">
        <v>30</v>
      </c>
      <c r="H648" t="s">
        <v>153</v>
      </c>
      <c r="I648">
        <v>100</v>
      </c>
      <c r="J648" t="s">
        <v>541</v>
      </c>
      <c r="K648" t="s">
        <v>186</v>
      </c>
      <c r="L648" t="s">
        <v>458</v>
      </c>
      <c r="M648" t="s">
        <v>459</v>
      </c>
      <c r="N648" s="3">
        <v>99</v>
      </c>
      <c r="O648" s="3">
        <v>96.74</v>
      </c>
      <c r="P648" s="3">
        <v>100</v>
      </c>
      <c r="Q648" s="3">
        <v>102.94</v>
      </c>
      <c r="R648" s="3">
        <v>99</v>
      </c>
      <c r="S648" s="3">
        <v>98.82</v>
      </c>
      <c r="T648" s="3" t="s">
        <v>59</v>
      </c>
      <c r="U648" s="3" t="s">
        <v>59</v>
      </c>
      <c r="V648" s="3">
        <v>96</v>
      </c>
      <c r="W648" s="3">
        <v>91.4</v>
      </c>
      <c r="X648" s="3">
        <v>101.64</v>
      </c>
      <c r="Y648" s="3" t="s">
        <v>59</v>
      </c>
    </row>
    <row r="649" spans="1:25" hidden="1" x14ac:dyDescent="0.3">
      <c r="A649">
        <v>373</v>
      </c>
      <c r="B649" t="s">
        <v>540</v>
      </c>
      <c r="C649" t="s">
        <v>47</v>
      </c>
      <c r="D649" t="s">
        <v>303</v>
      </c>
      <c r="E649" t="s">
        <v>28</v>
      </c>
      <c r="F649" t="s">
        <v>36</v>
      </c>
      <c r="G649" t="s">
        <v>30</v>
      </c>
      <c r="H649" t="s">
        <v>153</v>
      </c>
      <c r="I649">
        <v>100</v>
      </c>
      <c r="J649" t="s">
        <v>541</v>
      </c>
      <c r="K649" t="s">
        <v>186</v>
      </c>
      <c r="L649" t="s">
        <v>460</v>
      </c>
      <c r="M649" t="s">
        <v>461</v>
      </c>
      <c r="N649" s="3">
        <v>99</v>
      </c>
      <c r="O649" s="3">
        <v>97.75</v>
      </c>
      <c r="P649" s="3">
        <v>101.72</v>
      </c>
      <c r="Q649" s="3">
        <v>112</v>
      </c>
      <c r="R649" s="3">
        <v>97</v>
      </c>
      <c r="S649" s="3">
        <v>100</v>
      </c>
      <c r="T649" s="3">
        <v>101.61</v>
      </c>
      <c r="U649" s="3">
        <v>76.790000000000006</v>
      </c>
      <c r="V649" s="3">
        <v>99</v>
      </c>
      <c r="W649" s="3">
        <v>97.87</v>
      </c>
      <c r="X649" s="3">
        <v>114.52</v>
      </c>
      <c r="Y649" s="3" t="s">
        <v>59</v>
      </c>
    </row>
    <row r="650" spans="1:25" hidden="1" x14ac:dyDescent="0.3">
      <c r="A650" s="1">
        <v>390</v>
      </c>
      <c r="B650" s="1" t="s">
        <v>597</v>
      </c>
      <c r="C650" s="1" t="s">
        <v>47</v>
      </c>
      <c r="D650" s="1" t="s">
        <v>303</v>
      </c>
      <c r="E650" s="1" t="s">
        <v>28</v>
      </c>
      <c r="F650" s="1" t="s">
        <v>36</v>
      </c>
      <c r="G650" s="1" t="s">
        <v>30</v>
      </c>
      <c r="H650" s="1" t="s">
        <v>153</v>
      </c>
      <c r="I650" s="1">
        <v>100</v>
      </c>
      <c r="J650" s="1" t="s">
        <v>598</v>
      </c>
      <c r="K650" s="1" t="s">
        <v>186</v>
      </c>
      <c r="L650" s="1" t="s">
        <v>34</v>
      </c>
      <c r="M650" s="1" t="s">
        <v>34</v>
      </c>
      <c r="N650" s="6">
        <v>99.78</v>
      </c>
      <c r="O650" s="5">
        <v>101.17</v>
      </c>
      <c r="P650" s="5">
        <v>103.55</v>
      </c>
      <c r="Q650" s="5">
        <v>140.57</v>
      </c>
      <c r="R650" s="6">
        <v>99.92</v>
      </c>
      <c r="S650" s="6">
        <v>83.32</v>
      </c>
      <c r="T650" s="5">
        <v>110.59</v>
      </c>
      <c r="U650" s="5">
        <v>168.53</v>
      </c>
      <c r="V650" s="6">
        <v>99.249166666666994</v>
      </c>
      <c r="W650" s="6">
        <v>95.344166666666993</v>
      </c>
      <c r="X650" s="5">
        <v>110.38416666667</v>
      </c>
      <c r="Y650" s="3">
        <v>0</v>
      </c>
    </row>
    <row r="651" spans="1:25" hidden="1" x14ac:dyDescent="0.3">
      <c r="A651">
        <v>390</v>
      </c>
      <c r="B651" t="s">
        <v>597</v>
      </c>
      <c r="C651" t="s">
        <v>47</v>
      </c>
      <c r="D651" t="s">
        <v>303</v>
      </c>
      <c r="E651" t="s">
        <v>28</v>
      </c>
      <c r="F651" t="s">
        <v>36</v>
      </c>
      <c r="G651" t="s">
        <v>30</v>
      </c>
      <c r="H651" t="s">
        <v>153</v>
      </c>
      <c r="I651">
        <v>100</v>
      </c>
      <c r="J651" t="s">
        <v>598</v>
      </c>
      <c r="K651" t="s">
        <v>186</v>
      </c>
      <c r="L651" t="s">
        <v>573</v>
      </c>
      <c r="M651" t="s">
        <v>574</v>
      </c>
      <c r="N651" s="3">
        <v>100</v>
      </c>
      <c r="O651" s="3">
        <v>98.8</v>
      </c>
      <c r="P651" s="3">
        <v>95.65</v>
      </c>
      <c r="Q651" s="3">
        <v>190.91</v>
      </c>
      <c r="R651" s="3">
        <v>100</v>
      </c>
      <c r="S651" s="3">
        <v>82.5</v>
      </c>
      <c r="T651" s="3" t="s">
        <v>59</v>
      </c>
      <c r="U651" s="3" t="s">
        <v>59</v>
      </c>
      <c r="V651" s="3">
        <v>100</v>
      </c>
      <c r="W651" s="3">
        <v>91.99</v>
      </c>
      <c r="X651" s="3">
        <v>105.2</v>
      </c>
      <c r="Y651" s="3" t="s">
        <v>59</v>
      </c>
    </row>
    <row r="652" spans="1:25" hidden="1" x14ac:dyDescent="0.3">
      <c r="A652">
        <v>390</v>
      </c>
      <c r="B652" t="s">
        <v>597</v>
      </c>
      <c r="C652" t="s">
        <v>47</v>
      </c>
      <c r="D652" t="s">
        <v>303</v>
      </c>
      <c r="E652" t="s">
        <v>28</v>
      </c>
      <c r="F652" t="s">
        <v>36</v>
      </c>
      <c r="G652" t="s">
        <v>30</v>
      </c>
      <c r="H652" t="s">
        <v>153</v>
      </c>
      <c r="I652">
        <v>100</v>
      </c>
      <c r="J652" t="s">
        <v>598</v>
      </c>
      <c r="K652" t="s">
        <v>186</v>
      </c>
      <c r="L652" t="s">
        <v>575</v>
      </c>
      <c r="M652" t="s">
        <v>576</v>
      </c>
      <c r="N652" s="3">
        <v>98.17</v>
      </c>
      <c r="O652" s="3">
        <v>96.43</v>
      </c>
      <c r="P652" s="3">
        <v>92.16</v>
      </c>
      <c r="Q652" s="3">
        <v>87.12</v>
      </c>
      <c r="R652" s="3">
        <v>99</v>
      </c>
      <c r="S652" s="3">
        <v>72.099999999999994</v>
      </c>
      <c r="T652" s="3" t="s">
        <v>59</v>
      </c>
      <c r="U652" s="3" t="s">
        <v>59</v>
      </c>
      <c r="V652" s="3">
        <v>100</v>
      </c>
      <c r="W652" s="3">
        <v>93.51</v>
      </c>
      <c r="X652" s="3">
        <v>110.07</v>
      </c>
      <c r="Y652" s="3" t="s">
        <v>59</v>
      </c>
    </row>
    <row r="653" spans="1:25" hidden="1" x14ac:dyDescent="0.3">
      <c r="A653">
        <v>390</v>
      </c>
      <c r="B653" t="s">
        <v>597</v>
      </c>
      <c r="C653" t="s">
        <v>47</v>
      </c>
      <c r="D653" t="s">
        <v>303</v>
      </c>
      <c r="E653" t="s">
        <v>28</v>
      </c>
      <c r="F653" t="s">
        <v>36</v>
      </c>
      <c r="G653" t="s">
        <v>30</v>
      </c>
      <c r="H653" t="s">
        <v>153</v>
      </c>
      <c r="I653">
        <v>100</v>
      </c>
      <c r="J653" t="s">
        <v>598</v>
      </c>
      <c r="K653" t="s">
        <v>186</v>
      </c>
      <c r="L653" t="s">
        <v>577</v>
      </c>
      <c r="M653" t="s">
        <v>578</v>
      </c>
      <c r="N653" s="3">
        <v>100</v>
      </c>
      <c r="O653" s="3">
        <v>115.12</v>
      </c>
      <c r="P653" s="3">
        <v>102</v>
      </c>
      <c r="Q653" s="3">
        <v>226.21</v>
      </c>
      <c r="R653" s="3">
        <v>100</v>
      </c>
      <c r="S653" s="3">
        <v>82.79</v>
      </c>
      <c r="T653" s="3" t="s">
        <v>59</v>
      </c>
      <c r="U653" s="3" t="s">
        <v>59</v>
      </c>
      <c r="V653" s="3">
        <v>99.38</v>
      </c>
      <c r="W653" s="3">
        <v>98.79</v>
      </c>
      <c r="X653" s="3">
        <v>114.29</v>
      </c>
      <c r="Y653" s="3" t="s">
        <v>59</v>
      </c>
    </row>
    <row r="654" spans="1:25" hidden="1" x14ac:dyDescent="0.3">
      <c r="A654">
        <v>390</v>
      </c>
      <c r="B654" t="s">
        <v>597</v>
      </c>
      <c r="C654" t="s">
        <v>47</v>
      </c>
      <c r="D654" t="s">
        <v>303</v>
      </c>
      <c r="E654" t="s">
        <v>28</v>
      </c>
      <c r="F654" t="s">
        <v>36</v>
      </c>
      <c r="G654" t="s">
        <v>30</v>
      </c>
      <c r="H654" t="s">
        <v>153</v>
      </c>
      <c r="I654">
        <v>100</v>
      </c>
      <c r="J654" t="s">
        <v>598</v>
      </c>
      <c r="K654" t="s">
        <v>186</v>
      </c>
      <c r="L654" t="s">
        <v>579</v>
      </c>
      <c r="M654" t="s">
        <v>580</v>
      </c>
      <c r="N654" s="3">
        <v>100</v>
      </c>
      <c r="O654" s="3">
        <v>100</v>
      </c>
      <c r="P654" s="3">
        <v>95.65</v>
      </c>
      <c r="Q654" s="3">
        <v>184.59</v>
      </c>
      <c r="R654" s="3">
        <v>100</v>
      </c>
      <c r="S654" s="3">
        <v>82.58</v>
      </c>
      <c r="T654" s="3" t="s">
        <v>59</v>
      </c>
      <c r="U654" s="3" t="s">
        <v>59</v>
      </c>
      <c r="V654" s="3">
        <v>100</v>
      </c>
      <c r="W654" s="3">
        <v>94</v>
      </c>
      <c r="X654" s="3">
        <v>120.73</v>
      </c>
      <c r="Y654" s="3" t="s">
        <v>59</v>
      </c>
    </row>
    <row r="655" spans="1:25" hidden="1" x14ac:dyDescent="0.3">
      <c r="A655">
        <v>390</v>
      </c>
      <c r="B655" t="s">
        <v>597</v>
      </c>
      <c r="C655" t="s">
        <v>47</v>
      </c>
      <c r="D655" t="s">
        <v>303</v>
      </c>
      <c r="E655" t="s">
        <v>28</v>
      </c>
      <c r="F655" t="s">
        <v>36</v>
      </c>
      <c r="G655" t="s">
        <v>30</v>
      </c>
      <c r="H655" t="s">
        <v>153</v>
      </c>
      <c r="I655">
        <v>100</v>
      </c>
      <c r="J655" t="s">
        <v>598</v>
      </c>
      <c r="K655" t="s">
        <v>186</v>
      </c>
      <c r="L655" t="s">
        <v>581</v>
      </c>
      <c r="M655" t="s">
        <v>582</v>
      </c>
      <c r="N655" s="3">
        <v>99.17</v>
      </c>
      <c r="O655" s="3">
        <v>101.22</v>
      </c>
      <c r="P655" s="3">
        <v>128.57</v>
      </c>
      <c r="Q655" s="3">
        <v>93.06</v>
      </c>
      <c r="R655" s="3">
        <v>100</v>
      </c>
      <c r="S655" s="3">
        <v>91.1</v>
      </c>
      <c r="T655" s="3" t="s">
        <v>59</v>
      </c>
      <c r="U655" s="3" t="s">
        <v>59</v>
      </c>
      <c r="V655" s="3">
        <v>92.86</v>
      </c>
      <c r="W655" s="3">
        <v>88.08</v>
      </c>
      <c r="X655" s="3">
        <v>104.94</v>
      </c>
      <c r="Y655" s="3" t="s">
        <v>59</v>
      </c>
    </row>
    <row r="656" spans="1:25" hidden="1" x14ac:dyDescent="0.3">
      <c r="A656">
        <v>390</v>
      </c>
      <c r="B656" t="s">
        <v>597</v>
      </c>
      <c r="C656" t="s">
        <v>47</v>
      </c>
      <c r="D656" t="s">
        <v>303</v>
      </c>
      <c r="E656" t="s">
        <v>28</v>
      </c>
      <c r="F656" t="s">
        <v>36</v>
      </c>
      <c r="G656" t="s">
        <v>30</v>
      </c>
      <c r="H656" t="s">
        <v>153</v>
      </c>
      <c r="I656">
        <v>100</v>
      </c>
      <c r="J656" t="s">
        <v>598</v>
      </c>
      <c r="K656" t="s">
        <v>186</v>
      </c>
      <c r="L656" t="s">
        <v>583</v>
      </c>
      <c r="M656" t="s">
        <v>584</v>
      </c>
      <c r="N656" s="3">
        <v>100</v>
      </c>
      <c r="O656" s="3">
        <v>104.4</v>
      </c>
      <c r="P656" s="3">
        <v>113.33</v>
      </c>
      <c r="Q656" s="3">
        <v>154.88</v>
      </c>
      <c r="R656" s="3">
        <v>100</v>
      </c>
      <c r="S656" s="3">
        <v>81.94</v>
      </c>
      <c r="T656" s="3" t="s">
        <v>59</v>
      </c>
      <c r="U656" s="3" t="s">
        <v>59</v>
      </c>
      <c r="V656" s="3">
        <v>100</v>
      </c>
      <c r="W656" s="3">
        <v>101.98</v>
      </c>
      <c r="X656" s="3">
        <v>123.32</v>
      </c>
      <c r="Y656" s="3" t="s">
        <v>59</v>
      </c>
    </row>
    <row r="657" spans="1:25" hidden="1" x14ac:dyDescent="0.3">
      <c r="A657">
        <v>390</v>
      </c>
      <c r="B657" t="s">
        <v>597</v>
      </c>
      <c r="C657" t="s">
        <v>47</v>
      </c>
      <c r="D657" t="s">
        <v>303</v>
      </c>
      <c r="E657" t="s">
        <v>28</v>
      </c>
      <c r="F657" t="s">
        <v>36</v>
      </c>
      <c r="G657" t="s">
        <v>30</v>
      </c>
      <c r="H657" t="s">
        <v>153</v>
      </c>
      <c r="I657">
        <v>100</v>
      </c>
      <c r="J657" t="s">
        <v>598</v>
      </c>
      <c r="K657" t="s">
        <v>186</v>
      </c>
      <c r="L657" t="s">
        <v>585</v>
      </c>
      <c r="M657" t="s">
        <v>586</v>
      </c>
      <c r="N657" s="3">
        <v>100</v>
      </c>
      <c r="O657" s="3">
        <v>105.68</v>
      </c>
      <c r="P657" s="3">
        <v>134.55000000000001</v>
      </c>
      <c r="Q657" s="3">
        <v>175.68</v>
      </c>
      <c r="R657" s="3">
        <v>100</v>
      </c>
      <c r="S657" s="3">
        <v>92.17</v>
      </c>
      <c r="T657" s="3" t="s">
        <v>59</v>
      </c>
      <c r="U657" s="3" t="s">
        <v>59</v>
      </c>
      <c r="V657" s="3">
        <v>100</v>
      </c>
      <c r="W657" s="3">
        <v>98.87</v>
      </c>
      <c r="X657" s="3">
        <v>121</v>
      </c>
      <c r="Y657" s="3" t="s">
        <v>59</v>
      </c>
    </row>
    <row r="658" spans="1:25" hidden="1" x14ac:dyDescent="0.3">
      <c r="A658">
        <v>390</v>
      </c>
      <c r="B658" t="s">
        <v>597</v>
      </c>
      <c r="C658" t="s">
        <v>47</v>
      </c>
      <c r="D658" t="s">
        <v>303</v>
      </c>
      <c r="E658" t="s">
        <v>28</v>
      </c>
      <c r="F658" t="s">
        <v>36</v>
      </c>
      <c r="G658" t="s">
        <v>30</v>
      </c>
      <c r="H658" t="s">
        <v>153</v>
      </c>
      <c r="I658">
        <v>100</v>
      </c>
      <c r="J658" t="s">
        <v>598</v>
      </c>
      <c r="K658" t="s">
        <v>186</v>
      </c>
      <c r="L658" t="s">
        <v>587</v>
      </c>
      <c r="M658" t="s">
        <v>588</v>
      </c>
      <c r="N658" s="3">
        <v>100</v>
      </c>
      <c r="O658" s="3">
        <v>95.51</v>
      </c>
      <c r="P658" s="3">
        <v>92.59</v>
      </c>
      <c r="Q658" s="3">
        <v>120.08</v>
      </c>
      <c r="R658" s="3">
        <v>100</v>
      </c>
      <c r="S658" s="3">
        <v>87.58</v>
      </c>
      <c r="T658" s="3" t="s">
        <v>59</v>
      </c>
      <c r="U658" s="3" t="s">
        <v>59</v>
      </c>
      <c r="V658" s="3">
        <v>100</v>
      </c>
      <c r="W658" s="3">
        <v>96.19</v>
      </c>
      <c r="X658" s="3">
        <v>98.71</v>
      </c>
      <c r="Y658" s="3" t="s">
        <v>59</v>
      </c>
    </row>
    <row r="659" spans="1:25" hidden="1" x14ac:dyDescent="0.3">
      <c r="A659">
        <v>390</v>
      </c>
      <c r="B659" t="s">
        <v>597</v>
      </c>
      <c r="C659" t="s">
        <v>47</v>
      </c>
      <c r="D659" t="s">
        <v>303</v>
      </c>
      <c r="E659" t="s">
        <v>28</v>
      </c>
      <c r="F659" t="s">
        <v>36</v>
      </c>
      <c r="G659" t="s">
        <v>30</v>
      </c>
      <c r="H659" t="s">
        <v>153</v>
      </c>
      <c r="I659">
        <v>100</v>
      </c>
      <c r="J659" t="s">
        <v>598</v>
      </c>
      <c r="K659" t="s">
        <v>186</v>
      </c>
      <c r="L659" t="s">
        <v>589</v>
      </c>
      <c r="M659" t="s">
        <v>590</v>
      </c>
      <c r="N659" s="3">
        <v>100</v>
      </c>
      <c r="O659" s="3">
        <v>95.51</v>
      </c>
      <c r="P659" s="3">
        <v>96.3</v>
      </c>
      <c r="Q659" s="3">
        <v>117.7</v>
      </c>
      <c r="R659" s="3">
        <v>100</v>
      </c>
      <c r="S659" s="3">
        <v>85.4</v>
      </c>
      <c r="T659" s="3" t="s">
        <v>59</v>
      </c>
      <c r="U659" s="3" t="s">
        <v>59</v>
      </c>
      <c r="V659" s="3">
        <v>100</v>
      </c>
      <c r="W659" s="3">
        <v>95.05</v>
      </c>
      <c r="X659" s="3">
        <v>110.18</v>
      </c>
      <c r="Y659" s="3" t="s">
        <v>59</v>
      </c>
    </row>
    <row r="660" spans="1:25" hidden="1" x14ac:dyDescent="0.3">
      <c r="A660">
        <v>390</v>
      </c>
      <c r="B660" t="s">
        <v>597</v>
      </c>
      <c r="C660" t="s">
        <v>47</v>
      </c>
      <c r="D660" t="s">
        <v>303</v>
      </c>
      <c r="E660" t="s">
        <v>28</v>
      </c>
      <c r="F660" t="s">
        <v>36</v>
      </c>
      <c r="G660" t="s">
        <v>30</v>
      </c>
      <c r="H660" t="s">
        <v>153</v>
      </c>
      <c r="I660">
        <v>100</v>
      </c>
      <c r="J660" t="s">
        <v>598</v>
      </c>
      <c r="K660" t="s">
        <v>186</v>
      </c>
      <c r="L660" t="s">
        <v>591</v>
      </c>
      <c r="M660" t="s">
        <v>592</v>
      </c>
      <c r="N660" s="3">
        <v>100</v>
      </c>
      <c r="O660" s="3">
        <v>101.12</v>
      </c>
      <c r="P660" s="3">
        <v>107.41</v>
      </c>
      <c r="Q660" s="3">
        <v>120.08</v>
      </c>
      <c r="R660" s="3">
        <v>100</v>
      </c>
      <c r="S660" s="3">
        <v>70.67</v>
      </c>
      <c r="T660" s="3" t="s">
        <v>59</v>
      </c>
      <c r="U660" s="3" t="s">
        <v>59</v>
      </c>
      <c r="V660" s="3">
        <v>100</v>
      </c>
      <c r="W660" s="3">
        <v>97.07</v>
      </c>
      <c r="X660" s="3">
        <v>113.03</v>
      </c>
      <c r="Y660" s="3" t="s">
        <v>59</v>
      </c>
    </row>
    <row r="661" spans="1:25" hidden="1" x14ac:dyDescent="0.3">
      <c r="A661">
        <v>390</v>
      </c>
      <c r="B661" t="s">
        <v>597</v>
      </c>
      <c r="C661" t="s">
        <v>47</v>
      </c>
      <c r="D661" t="s">
        <v>303</v>
      </c>
      <c r="E661" t="s">
        <v>28</v>
      </c>
      <c r="F661" t="s">
        <v>36</v>
      </c>
      <c r="G661" t="s">
        <v>30</v>
      </c>
      <c r="H661" t="s">
        <v>153</v>
      </c>
      <c r="I661">
        <v>100</v>
      </c>
      <c r="J661" t="s">
        <v>598</v>
      </c>
      <c r="K661" t="s">
        <v>186</v>
      </c>
      <c r="L661" t="s">
        <v>593</v>
      </c>
      <c r="M661" t="s">
        <v>594</v>
      </c>
      <c r="N661" s="3">
        <v>100</v>
      </c>
      <c r="O661" s="3">
        <v>99.17</v>
      </c>
      <c r="P661" s="3">
        <v>92.59</v>
      </c>
      <c r="Q661" s="3">
        <v>100</v>
      </c>
      <c r="R661" s="3">
        <v>100</v>
      </c>
      <c r="S661" s="3">
        <v>81</v>
      </c>
      <c r="T661" s="3" t="s">
        <v>59</v>
      </c>
      <c r="U661" s="3" t="s">
        <v>59</v>
      </c>
      <c r="V661" s="3">
        <v>98.75</v>
      </c>
      <c r="W661" s="3">
        <v>97.56</v>
      </c>
      <c r="X661" s="3">
        <v>105.99</v>
      </c>
      <c r="Y661" s="3" t="s">
        <v>59</v>
      </c>
    </row>
    <row r="662" spans="1:25" hidden="1" x14ac:dyDescent="0.3">
      <c r="A662">
        <v>390</v>
      </c>
      <c r="B662" t="s">
        <v>597</v>
      </c>
      <c r="C662" t="s">
        <v>47</v>
      </c>
      <c r="D662" t="s">
        <v>303</v>
      </c>
      <c r="E662" t="s">
        <v>28</v>
      </c>
      <c r="F662" t="s">
        <v>36</v>
      </c>
      <c r="G662" t="s">
        <v>30</v>
      </c>
      <c r="H662" t="s">
        <v>153</v>
      </c>
      <c r="I662">
        <v>100</v>
      </c>
      <c r="J662" t="s">
        <v>598</v>
      </c>
      <c r="K662" t="s">
        <v>186</v>
      </c>
      <c r="L662" t="s">
        <v>595</v>
      </c>
      <c r="M662" t="s">
        <v>596</v>
      </c>
      <c r="N662" s="3">
        <v>100</v>
      </c>
      <c r="O662" s="3">
        <v>101.12</v>
      </c>
      <c r="P662" s="3">
        <v>91.8</v>
      </c>
      <c r="Q662" s="3">
        <v>116.47</v>
      </c>
      <c r="R662" s="3">
        <v>100</v>
      </c>
      <c r="S662" s="3">
        <v>90.13</v>
      </c>
      <c r="T662" s="3">
        <v>121.4</v>
      </c>
      <c r="U662" s="3">
        <v>341.65</v>
      </c>
      <c r="V662" s="3">
        <v>100</v>
      </c>
      <c r="W662" s="3">
        <v>91.04</v>
      </c>
      <c r="X662" s="3">
        <v>97.15</v>
      </c>
      <c r="Y662" s="3" t="s">
        <v>59</v>
      </c>
    </row>
    <row r="663" spans="1:25" hidden="1" x14ac:dyDescent="0.3">
      <c r="A663" s="1">
        <v>394</v>
      </c>
      <c r="B663" s="1" t="s">
        <v>604</v>
      </c>
      <c r="C663" s="1" t="s">
        <v>47</v>
      </c>
      <c r="D663" s="1" t="s">
        <v>605</v>
      </c>
      <c r="E663" s="1" t="s">
        <v>28</v>
      </c>
      <c r="F663" s="1" t="s">
        <v>36</v>
      </c>
      <c r="G663" s="1" t="s">
        <v>30</v>
      </c>
      <c r="H663" s="1" t="s">
        <v>31</v>
      </c>
      <c r="I663" s="1">
        <v>100</v>
      </c>
      <c r="J663" s="1" t="s">
        <v>606</v>
      </c>
      <c r="K663" s="1" t="s">
        <v>33</v>
      </c>
      <c r="L663" s="1" t="s">
        <v>33</v>
      </c>
      <c r="M663" s="1" t="s">
        <v>34</v>
      </c>
      <c r="N663" s="5">
        <v>137.5</v>
      </c>
      <c r="O663" s="6">
        <v>91.71</v>
      </c>
      <c r="P663" s="6">
        <v>96.86</v>
      </c>
      <c r="Q663" s="5">
        <v>227.5</v>
      </c>
      <c r="R663" s="5">
        <v>192</v>
      </c>
      <c r="S663" s="3" t="s">
        <v>59</v>
      </c>
      <c r="T663" s="5">
        <v>118.6</v>
      </c>
      <c r="U663" s="3" t="s">
        <v>59</v>
      </c>
      <c r="V663" s="5">
        <v>349.71</v>
      </c>
      <c r="W663" s="3" t="s">
        <v>59</v>
      </c>
      <c r="X663" s="5">
        <v>275.42857142857002</v>
      </c>
      <c r="Y663" s="3" t="s">
        <v>59</v>
      </c>
    </row>
    <row r="664" spans="1:25" hidden="1" x14ac:dyDescent="0.3">
      <c r="A664" s="1">
        <v>395</v>
      </c>
      <c r="B664" s="1" t="s">
        <v>607</v>
      </c>
      <c r="C664" s="1" t="s">
        <v>26</v>
      </c>
      <c r="D664" s="1" t="s">
        <v>605</v>
      </c>
      <c r="E664" s="1" t="s">
        <v>28</v>
      </c>
      <c r="F664" s="1" t="s">
        <v>36</v>
      </c>
      <c r="G664" s="1" t="s">
        <v>30</v>
      </c>
      <c r="H664" s="1" t="s">
        <v>31</v>
      </c>
      <c r="I664" s="1">
        <v>100</v>
      </c>
      <c r="J664" s="1" t="s">
        <v>608</v>
      </c>
      <c r="K664" s="1" t="s">
        <v>33</v>
      </c>
      <c r="L664" s="1" t="s">
        <v>33</v>
      </c>
      <c r="M664" s="1" t="s">
        <v>34</v>
      </c>
      <c r="N664" s="5">
        <v>177.14</v>
      </c>
      <c r="O664" s="5">
        <v>187.27</v>
      </c>
      <c r="P664" s="5">
        <v>161.82</v>
      </c>
      <c r="Q664" s="5">
        <v>291.43</v>
      </c>
      <c r="R664" s="5">
        <v>148.88999999999999</v>
      </c>
      <c r="S664" s="3" t="s">
        <v>59</v>
      </c>
      <c r="T664" s="5">
        <v>110</v>
      </c>
      <c r="U664" s="3" t="s">
        <v>59</v>
      </c>
      <c r="V664" s="5">
        <v>266.67</v>
      </c>
      <c r="W664" s="3"/>
      <c r="X664" s="5">
        <v>294.11764705882001</v>
      </c>
      <c r="Y664" s="3" t="s">
        <v>59</v>
      </c>
    </row>
    <row r="665" spans="1:25" hidden="1" x14ac:dyDescent="0.3">
      <c r="A665" s="1">
        <v>409</v>
      </c>
      <c r="B665" s="1" t="s">
        <v>634</v>
      </c>
      <c r="C665" s="1" t="s">
        <v>26</v>
      </c>
      <c r="D665" s="1" t="s">
        <v>327</v>
      </c>
      <c r="E665" s="1" t="s">
        <v>40</v>
      </c>
      <c r="F665" s="1" t="s">
        <v>36</v>
      </c>
      <c r="G665" s="1" t="s">
        <v>30</v>
      </c>
      <c r="H665" s="1" t="s">
        <v>153</v>
      </c>
      <c r="I665" s="1">
        <v>95</v>
      </c>
      <c r="J665" s="1" t="s">
        <v>635</v>
      </c>
      <c r="K665" s="1" t="s">
        <v>155</v>
      </c>
      <c r="L665" s="1" t="s">
        <v>34</v>
      </c>
      <c r="M665" s="1" t="s">
        <v>34</v>
      </c>
      <c r="N665" s="3"/>
      <c r="O665" s="3"/>
      <c r="P665" s="3"/>
      <c r="Q665" s="4">
        <v>100</v>
      </c>
      <c r="R665" s="4">
        <v>96.457326892109492</v>
      </c>
      <c r="S665" s="4">
        <v>97.122302158273371</v>
      </c>
      <c r="T665" s="4">
        <v>98.496240601503757</v>
      </c>
      <c r="U665" s="4">
        <v>98.022598870056498</v>
      </c>
      <c r="V665" s="5">
        <v>100</v>
      </c>
      <c r="W665" s="5">
        <v>103.71885459278541</v>
      </c>
      <c r="X665" s="3" t="s">
        <v>59</v>
      </c>
      <c r="Y665" s="3" t="s">
        <v>59</v>
      </c>
    </row>
    <row r="666" spans="1:25" hidden="1" x14ac:dyDescent="0.3">
      <c r="A666">
        <v>409</v>
      </c>
      <c r="B666" t="s">
        <v>634</v>
      </c>
      <c r="C666" t="s">
        <v>26</v>
      </c>
      <c r="D666" t="s">
        <v>327</v>
      </c>
      <c r="E666" t="s">
        <v>40</v>
      </c>
      <c r="F666" t="s">
        <v>36</v>
      </c>
      <c r="G666" t="s">
        <v>30</v>
      </c>
      <c r="H666" t="s">
        <v>153</v>
      </c>
      <c r="I666">
        <v>95</v>
      </c>
      <c r="J666" t="s">
        <v>635</v>
      </c>
      <c r="K666" t="s">
        <v>155</v>
      </c>
      <c r="L666" t="s">
        <v>636</v>
      </c>
      <c r="M666" t="s">
        <v>637</v>
      </c>
      <c r="N666" s="3" t="s">
        <v>59</v>
      </c>
      <c r="O666" s="3" t="s">
        <v>59</v>
      </c>
      <c r="P666" s="3" t="s">
        <v>59</v>
      </c>
      <c r="Q666" s="3">
        <v>100</v>
      </c>
      <c r="R666" s="3">
        <v>93.66</v>
      </c>
      <c r="S666" s="3">
        <v>95.39</v>
      </c>
      <c r="T666" s="3">
        <v>97.09</v>
      </c>
      <c r="U666" s="3">
        <v>95.17</v>
      </c>
      <c r="V666" s="3">
        <v>100</v>
      </c>
      <c r="W666" s="3">
        <v>104</v>
      </c>
      <c r="X666" s="3" t="s">
        <v>59</v>
      </c>
      <c r="Y666" s="3" t="s">
        <v>59</v>
      </c>
    </row>
    <row r="667" spans="1:25" hidden="1" x14ac:dyDescent="0.3">
      <c r="A667">
        <v>409</v>
      </c>
      <c r="B667" t="s">
        <v>634</v>
      </c>
      <c r="C667" t="s">
        <v>26</v>
      </c>
      <c r="D667" t="s">
        <v>327</v>
      </c>
      <c r="E667" t="s">
        <v>40</v>
      </c>
      <c r="F667" t="s">
        <v>36</v>
      </c>
      <c r="G667" t="s">
        <v>30</v>
      </c>
      <c r="H667" t="s">
        <v>153</v>
      </c>
      <c r="I667">
        <v>95</v>
      </c>
      <c r="J667" t="s">
        <v>635</v>
      </c>
      <c r="K667" t="s">
        <v>155</v>
      </c>
      <c r="L667" t="s">
        <v>638</v>
      </c>
      <c r="M667" t="s">
        <v>639</v>
      </c>
      <c r="N667" s="3" t="s">
        <v>59</v>
      </c>
      <c r="O667" s="3" t="s">
        <v>59</v>
      </c>
      <c r="P667" s="3" t="s">
        <v>59</v>
      </c>
      <c r="Q667" s="3">
        <v>100</v>
      </c>
      <c r="R667" s="3" t="s">
        <v>59</v>
      </c>
      <c r="S667" s="3">
        <v>100</v>
      </c>
      <c r="T667" s="3">
        <v>100</v>
      </c>
      <c r="U667" s="3">
        <v>100</v>
      </c>
      <c r="V667" s="3">
        <v>100</v>
      </c>
      <c r="W667" s="3">
        <v>100</v>
      </c>
      <c r="X667" s="3" t="s">
        <v>59</v>
      </c>
      <c r="Y667" s="3" t="s">
        <v>59</v>
      </c>
    </row>
    <row r="668" spans="1:25" hidden="1" x14ac:dyDescent="0.3">
      <c r="A668" s="1">
        <v>414</v>
      </c>
      <c r="B668" s="1" t="s">
        <v>642</v>
      </c>
      <c r="C668" s="1" t="s">
        <v>47</v>
      </c>
      <c r="D668" s="1" t="s">
        <v>303</v>
      </c>
      <c r="E668" s="1" t="s">
        <v>28</v>
      </c>
      <c r="F668" s="1" t="s">
        <v>36</v>
      </c>
      <c r="G668" s="1" t="s">
        <v>30</v>
      </c>
      <c r="H668" s="1" t="s">
        <v>153</v>
      </c>
      <c r="I668" s="1">
        <v>100</v>
      </c>
      <c r="J668" s="1" t="s">
        <v>643</v>
      </c>
      <c r="K668" s="1" t="s">
        <v>186</v>
      </c>
      <c r="L668" s="1" t="s">
        <v>34</v>
      </c>
      <c r="M668" s="1" t="s">
        <v>34</v>
      </c>
      <c r="N668" s="6">
        <v>98.87</v>
      </c>
      <c r="O668" s="6">
        <v>93.6</v>
      </c>
      <c r="P668" s="5">
        <v>108.55</v>
      </c>
      <c r="Q668" s="5">
        <v>110.79</v>
      </c>
      <c r="R668" s="6">
        <v>98.78</v>
      </c>
      <c r="S668" s="6">
        <v>99.38</v>
      </c>
      <c r="T668" s="4">
        <v>100.06</v>
      </c>
      <c r="U668" s="6">
        <v>99.3</v>
      </c>
      <c r="V668" s="6">
        <v>96.28</v>
      </c>
      <c r="W668" s="6">
        <v>93.54</v>
      </c>
      <c r="X668" s="5">
        <v>110.01</v>
      </c>
      <c r="Y668" s="3">
        <v>0</v>
      </c>
    </row>
    <row r="669" spans="1:25" hidden="1" x14ac:dyDescent="0.3">
      <c r="A669">
        <v>414</v>
      </c>
      <c r="B669" t="s">
        <v>642</v>
      </c>
      <c r="C669" t="s">
        <v>47</v>
      </c>
      <c r="D669" t="s">
        <v>303</v>
      </c>
      <c r="E669" t="s">
        <v>28</v>
      </c>
      <c r="F669" t="s">
        <v>36</v>
      </c>
      <c r="G669" t="s">
        <v>30</v>
      </c>
      <c r="H669" t="s">
        <v>153</v>
      </c>
      <c r="I669">
        <v>100</v>
      </c>
      <c r="J669" t="s">
        <v>643</v>
      </c>
      <c r="K669" t="s">
        <v>186</v>
      </c>
      <c r="L669" t="s">
        <v>644</v>
      </c>
      <c r="M669" t="s">
        <v>645</v>
      </c>
      <c r="N669" s="3">
        <v>100</v>
      </c>
      <c r="O669" s="3">
        <v>91.84</v>
      </c>
      <c r="P669" s="3">
        <v>78.83</v>
      </c>
      <c r="Q669" s="3">
        <v>96.3</v>
      </c>
      <c r="R669" s="3">
        <v>100</v>
      </c>
      <c r="S669" s="3">
        <v>109.21</v>
      </c>
      <c r="T669" s="3">
        <v>103.78</v>
      </c>
      <c r="U669" s="3">
        <v>88.46</v>
      </c>
      <c r="V669" s="3">
        <v>99.75</v>
      </c>
      <c r="W669" s="3">
        <v>91.25</v>
      </c>
      <c r="X669" s="3">
        <v>109.86</v>
      </c>
      <c r="Y669" s="3" t="s">
        <v>59</v>
      </c>
    </row>
    <row r="670" spans="1:25" hidden="1" x14ac:dyDescent="0.3">
      <c r="A670">
        <v>414</v>
      </c>
      <c r="B670" t="s">
        <v>642</v>
      </c>
      <c r="C670" t="s">
        <v>47</v>
      </c>
      <c r="D670" t="s">
        <v>303</v>
      </c>
      <c r="E670" t="s">
        <v>28</v>
      </c>
      <c r="F670" t="s">
        <v>36</v>
      </c>
      <c r="G670" t="s">
        <v>30</v>
      </c>
      <c r="H670" t="s">
        <v>153</v>
      </c>
      <c r="I670">
        <v>100</v>
      </c>
      <c r="J670" t="s">
        <v>643</v>
      </c>
      <c r="K670" t="s">
        <v>186</v>
      </c>
      <c r="L670" t="s">
        <v>646</v>
      </c>
      <c r="M670" t="s">
        <v>647</v>
      </c>
      <c r="N670" s="3">
        <v>100</v>
      </c>
      <c r="O670" s="3">
        <v>92</v>
      </c>
      <c r="P670" s="3">
        <v>83.13</v>
      </c>
      <c r="Q670" s="3">
        <v>95.32</v>
      </c>
      <c r="R670" s="3">
        <v>100</v>
      </c>
      <c r="S670" s="3">
        <v>100</v>
      </c>
      <c r="T670" s="3">
        <v>95.4</v>
      </c>
      <c r="U670" s="3">
        <v>91.67</v>
      </c>
      <c r="V670" s="3">
        <v>97.4</v>
      </c>
      <c r="W670" s="3">
        <v>69.7</v>
      </c>
      <c r="X670" s="3">
        <v>60.81</v>
      </c>
      <c r="Y670" s="3" t="s">
        <v>59</v>
      </c>
    </row>
    <row r="671" spans="1:25" hidden="1" x14ac:dyDescent="0.3">
      <c r="A671">
        <v>414</v>
      </c>
      <c r="B671" t="s">
        <v>642</v>
      </c>
      <c r="C671" t="s">
        <v>47</v>
      </c>
      <c r="D671" t="s">
        <v>303</v>
      </c>
      <c r="E671" t="s">
        <v>28</v>
      </c>
      <c r="F671" t="s">
        <v>36</v>
      </c>
      <c r="G671" t="s">
        <v>30</v>
      </c>
      <c r="H671" t="s">
        <v>153</v>
      </c>
      <c r="I671">
        <v>100</v>
      </c>
      <c r="J671" t="s">
        <v>643</v>
      </c>
      <c r="K671" t="s">
        <v>186</v>
      </c>
      <c r="L671" t="s">
        <v>648</v>
      </c>
      <c r="M671" t="s">
        <v>649</v>
      </c>
      <c r="N671" s="3">
        <v>91.12</v>
      </c>
      <c r="O671" s="3">
        <v>87.78</v>
      </c>
      <c r="P671" s="3">
        <v>87.67</v>
      </c>
      <c r="Q671" s="3">
        <v>91.19</v>
      </c>
      <c r="R671" s="3">
        <v>100</v>
      </c>
      <c r="S671" s="3">
        <v>108.05</v>
      </c>
      <c r="T671" s="3">
        <v>93.25</v>
      </c>
      <c r="U671" s="3">
        <v>83.33</v>
      </c>
      <c r="V671" s="3">
        <v>98.83</v>
      </c>
      <c r="W671" s="3">
        <v>108.29</v>
      </c>
      <c r="X671" s="3">
        <v>125</v>
      </c>
      <c r="Y671" s="3" t="s">
        <v>59</v>
      </c>
    </row>
    <row r="672" spans="1:25" hidden="1" x14ac:dyDescent="0.3">
      <c r="A672">
        <v>414</v>
      </c>
      <c r="B672" t="s">
        <v>642</v>
      </c>
      <c r="C672" t="s">
        <v>47</v>
      </c>
      <c r="D672" t="s">
        <v>303</v>
      </c>
      <c r="E672" t="s">
        <v>28</v>
      </c>
      <c r="F672" t="s">
        <v>36</v>
      </c>
      <c r="G672" t="s">
        <v>30</v>
      </c>
      <c r="H672" t="s">
        <v>153</v>
      </c>
      <c r="I672">
        <v>100</v>
      </c>
      <c r="J672" t="s">
        <v>643</v>
      </c>
      <c r="K672" t="s">
        <v>186</v>
      </c>
      <c r="L672" t="s">
        <v>650</v>
      </c>
      <c r="M672" t="s">
        <v>651</v>
      </c>
      <c r="N672" s="3">
        <v>100</v>
      </c>
      <c r="O672" s="3">
        <v>102.04</v>
      </c>
      <c r="P672" s="3">
        <v>116.36</v>
      </c>
      <c r="Q672" s="3">
        <v>154.16999999999999</v>
      </c>
      <c r="R672" s="3">
        <v>100</v>
      </c>
      <c r="S672" s="3">
        <v>92.55</v>
      </c>
      <c r="T672" s="3">
        <v>97.81</v>
      </c>
      <c r="U672" s="3">
        <v>106.85</v>
      </c>
      <c r="V672" s="3">
        <v>98.75</v>
      </c>
      <c r="W672" s="3">
        <v>84.02</v>
      </c>
      <c r="X672" s="3">
        <v>120</v>
      </c>
      <c r="Y672" s="3" t="s">
        <v>59</v>
      </c>
    </row>
    <row r="673" spans="1:25" hidden="1" x14ac:dyDescent="0.3">
      <c r="A673">
        <v>414</v>
      </c>
      <c r="B673" t="s">
        <v>642</v>
      </c>
      <c r="C673" t="s">
        <v>47</v>
      </c>
      <c r="D673" t="s">
        <v>303</v>
      </c>
      <c r="E673" t="s">
        <v>28</v>
      </c>
      <c r="F673" t="s">
        <v>36</v>
      </c>
      <c r="G673" t="s">
        <v>30</v>
      </c>
      <c r="H673" t="s">
        <v>153</v>
      </c>
      <c r="I673">
        <v>100</v>
      </c>
      <c r="J673" t="s">
        <v>643</v>
      </c>
      <c r="K673" t="s">
        <v>186</v>
      </c>
      <c r="L673" t="s">
        <v>652</v>
      </c>
      <c r="M673" t="s">
        <v>653</v>
      </c>
      <c r="N673" s="3">
        <v>100</v>
      </c>
      <c r="O673" s="3">
        <v>99.89</v>
      </c>
      <c r="P673" s="3">
        <v>110.87</v>
      </c>
      <c r="Q673" s="3">
        <v>186.34</v>
      </c>
      <c r="R673" s="3">
        <v>100</v>
      </c>
      <c r="S673" s="3">
        <v>100</v>
      </c>
      <c r="T673" s="3">
        <v>99.7</v>
      </c>
      <c r="U673" s="3">
        <v>98.15</v>
      </c>
      <c r="V673" s="3">
        <v>100</v>
      </c>
      <c r="W673" s="3">
        <v>102.4</v>
      </c>
      <c r="X673" s="3">
        <v>131.71</v>
      </c>
      <c r="Y673" s="3" t="s">
        <v>59</v>
      </c>
    </row>
    <row r="674" spans="1:25" hidden="1" x14ac:dyDescent="0.3">
      <c r="A674">
        <v>414</v>
      </c>
      <c r="B674" t="s">
        <v>642</v>
      </c>
      <c r="C674" t="s">
        <v>47</v>
      </c>
      <c r="D674" t="s">
        <v>303</v>
      </c>
      <c r="E674" t="s">
        <v>28</v>
      </c>
      <c r="F674" t="s">
        <v>36</v>
      </c>
      <c r="G674" t="s">
        <v>30</v>
      </c>
      <c r="H674" t="s">
        <v>153</v>
      </c>
      <c r="I674">
        <v>100</v>
      </c>
      <c r="J674" t="s">
        <v>643</v>
      </c>
      <c r="K674" t="s">
        <v>186</v>
      </c>
      <c r="L674" t="s">
        <v>654</v>
      </c>
      <c r="M674" t="s">
        <v>655</v>
      </c>
      <c r="N674" s="3">
        <v>98.75</v>
      </c>
      <c r="O674" s="3">
        <v>77.78</v>
      </c>
      <c r="P674" s="3">
        <v>100</v>
      </c>
      <c r="Q674" s="3">
        <v>123.63</v>
      </c>
      <c r="R674" s="3">
        <v>99</v>
      </c>
      <c r="S674" s="3">
        <v>95.96</v>
      </c>
      <c r="T674" s="3">
        <v>121.17</v>
      </c>
      <c r="U674" s="3">
        <v>118.75</v>
      </c>
      <c r="V674" s="3">
        <v>94.51</v>
      </c>
      <c r="W674" s="3">
        <v>102.53</v>
      </c>
      <c r="X674" s="3">
        <v>125</v>
      </c>
      <c r="Y674" s="3" t="s">
        <v>59</v>
      </c>
    </row>
    <row r="675" spans="1:25" hidden="1" x14ac:dyDescent="0.3">
      <c r="A675">
        <v>414</v>
      </c>
      <c r="B675" t="s">
        <v>642</v>
      </c>
      <c r="C675" t="s">
        <v>47</v>
      </c>
      <c r="D675" t="s">
        <v>303</v>
      </c>
      <c r="E675" t="s">
        <v>28</v>
      </c>
      <c r="F675" t="s">
        <v>36</v>
      </c>
      <c r="G675" t="s">
        <v>30</v>
      </c>
      <c r="H675" t="s">
        <v>153</v>
      </c>
      <c r="I675">
        <v>100</v>
      </c>
      <c r="J675" t="s">
        <v>643</v>
      </c>
      <c r="K675" t="s">
        <v>186</v>
      </c>
      <c r="L675" t="s">
        <v>656</v>
      </c>
      <c r="M675" t="s">
        <v>657</v>
      </c>
      <c r="N675" s="3">
        <v>100</v>
      </c>
      <c r="O675" s="3">
        <v>105.26</v>
      </c>
      <c r="P675" s="3">
        <v>68.12</v>
      </c>
      <c r="Q675" s="3">
        <v>50.16</v>
      </c>
      <c r="R675" s="3">
        <v>94</v>
      </c>
      <c r="S675" s="3">
        <v>105.62</v>
      </c>
      <c r="T675" s="3">
        <v>95.27</v>
      </c>
      <c r="U675" s="3">
        <v>121.15</v>
      </c>
      <c r="V675" s="3">
        <v>86.43</v>
      </c>
      <c r="W675" s="3">
        <v>105.64</v>
      </c>
      <c r="X675" s="3">
        <v>107.69</v>
      </c>
      <c r="Y675" s="3" t="s">
        <v>59</v>
      </c>
    </row>
    <row r="676" spans="1:25" hidden="1" x14ac:dyDescent="0.3">
      <c r="A676">
        <v>414</v>
      </c>
      <c r="B676" t="s">
        <v>642</v>
      </c>
      <c r="C676" t="s">
        <v>47</v>
      </c>
      <c r="D676" t="s">
        <v>303</v>
      </c>
      <c r="E676" t="s">
        <v>28</v>
      </c>
      <c r="F676" t="s">
        <v>36</v>
      </c>
      <c r="G676" t="s">
        <v>30</v>
      </c>
      <c r="H676" t="s">
        <v>153</v>
      </c>
      <c r="I676">
        <v>100</v>
      </c>
      <c r="J676" t="s">
        <v>643</v>
      </c>
      <c r="K676" t="s">
        <v>186</v>
      </c>
      <c r="L676" t="s">
        <v>658</v>
      </c>
      <c r="M676" t="s">
        <v>659</v>
      </c>
      <c r="N676" s="3">
        <v>100</v>
      </c>
      <c r="O676" s="3">
        <v>93.1</v>
      </c>
      <c r="P676" s="3">
        <v>102.8</v>
      </c>
      <c r="Q676" s="3">
        <v>89.17</v>
      </c>
      <c r="R676" s="3">
        <v>100</v>
      </c>
      <c r="S676" s="3">
        <v>101.09</v>
      </c>
      <c r="T676" s="3">
        <v>107.97</v>
      </c>
      <c r="U676" s="3">
        <v>101.59</v>
      </c>
      <c r="V676" s="3">
        <v>94.6</v>
      </c>
      <c r="W676" s="3">
        <v>84.51</v>
      </c>
      <c r="X676" s="3">
        <v>100</v>
      </c>
      <c r="Y676" s="3" t="s">
        <v>59</v>
      </c>
    </row>
    <row r="677" spans="1:25" hidden="1" x14ac:dyDescent="0.3">
      <c r="A677">
        <v>414</v>
      </c>
      <c r="B677" t="s">
        <v>642</v>
      </c>
      <c r="C677" t="s">
        <v>47</v>
      </c>
      <c r="D677" t="s">
        <v>303</v>
      </c>
      <c r="E677" t="s">
        <v>28</v>
      </c>
      <c r="F677" t="s">
        <v>36</v>
      </c>
      <c r="G677" t="s">
        <v>30</v>
      </c>
      <c r="H677" t="s">
        <v>153</v>
      </c>
      <c r="I677">
        <v>100</v>
      </c>
      <c r="J677" t="s">
        <v>643</v>
      </c>
      <c r="K677" t="s">
        <v>186</v>
      </c>
      <c r="L677" t="s">
        <v>660</v>
      </c>
      <c r="M677" t="s">
        <v>661</v>
      </c>
      <c r="N677" s="3">
        <v>100</v>
      </c>
      <c r="O677" s="3">
        <v>92.68</v>
      </c>
      <c r="P677" s="3">
        <v>229.17</v>
      </c>
      <c r="Q677" s="3" t="s">
        <v>59</v>
      </c>
      <c r="R677" s="3">
        <v>96</v>
      </c>
      <c r="S677" s="3">
        <v>83.91</v>
      </c>
      <c r="T677" s="3">
        <v>86.22</v>
      </c>
      <c r="U677" s="3">
        <v>83.78</v>
      </c>
      <c r="V677" s="3" t="s">
        <v>59</v>
      </c>
      <c r="W677" s="3" t="s">
        <v>59</v>
      </c>
      <c r="X677" s="3" t="s">
        <v>59</v>
      </c>
      <c r="Y677" s="3" t="s">
        <v>59</v>
      </c>
    </row>
    <row r="678" spans="1:25" hidden="1" x14ac:dyDescent="0.3">
      <c r="A678" s="1">
        <v>415</v>
      </c>
      <c r="B678" s="1" t="s">
        <v>662</v>
      </c>
      <c r="C678" s="1" t="s">
        <v>47</v>
      </c>
      <c r="D678" s="1" t="s">
        <v>303</v>
      </c>
      <c r="E678" s="1" t="s">
        <v>28</v>
      </c>
      <c r="F678" s="1" t="s">
        <v>36</v>
      </c>
      <c r="G678" s="1" t="s">
        <v>30</v>
      </c>
      <c r="H678" s="1" t="s">
        <v>153</v>
      </c>
      <c r="I678" s="1">
        <v>100</v>
      </c>
      <c r="J678" s="1" t="s">
        <v>663</v>
      </c>
      <c r="K678" s="1" t="s">
        <v>186</v>
      </c>
      <c r="L678" s="1" t="s">
        <v>34</v>
      </c>
      <c r="M678" s="1" t="s">
        <v>34</v>
      </c>
      <c r="N678" s="6">
        <v>99.3</v>
      </c>
      <c r="O678" s="6">
        <v>95.56</v>
      </c>
      <c r="P678" s="6">
        <v>96.44</v>
      </c>
      <c r="Q678" s="5">
        <v>104.76</v>
      </c>
      <c r="R678" s="6">
        <v>98.36</v>
      </c>
      <c r="S678" s="6">
        <v>92.46</v>
      </c>
      <c r="T678" s="6">
        <v>93.04</v>
      </c>
      <c r="U678" s="6">
        <v>80.790000000000006</v>
      </c>
      <c r="V678" s="6">
        <v>96</v>
      </c>
      <c r="W678" s="6">
        <v>93.94</v>
      </c>
      <c r="X678" s="6">
        <v>94.04</v>
      </c>
      <c r="Y678" s="3">
        <v>0</v>
      </c>
    </row>
    <row r="679" spans="1:25" hidden="1" x14ac:dyDescent="0.3">
      <c r="A679">
        <v>415</v>
      </c>
      <c r="B679" t="s">
        <v>662</v>
      </c>
      <c r="C679" t="s">
        <v>47</v>
      </c>
      <c r="D679" t="s">
        <v>303</v>
      </c>
      <c r="E679" t="s">
        <v>28</v>
      </c>
      <c r="F679" t="s">
        <v>36</v>
      </c>
      <c r="G679" t="s">
        <v>30</v>
      </c>
      <c r="H679" t="s">
        <v>153</v>
      </c>
      <c r="I679">
        <v>100</v>
      </c>
      <c r="J679" t="s">
        <v>663</v>
      </c>
      <c r="K679" t="s">
        <v>186</v>
      </c>
      <c r="L679" t="s">
        <v>664</v>
      </c>
      <c r="M679" t="s">
        <v>665</v>
      </c>
      <c r="N679" s="3">
        <v>100</v>
      </c>
      <c r="O679" s="3">
        <v>98.9</v>
      </c>
      <c r="P679" s="3">
        <v>98.41</v>
      </c>
      <c r="Q679" s="3">
        <v>98.06</v>
      </c>
      <c r="R679" s="3">
        <v>100</v>
      </c>
      <c r="S679" s="3">
        <v>100</v>
      </c>
      <c r="T679" s="3">
        <v>83.46</v>
      </c>
      <c r="U679" s="3">
        <v>67.209999999999994</v>
      </c>
      <c r="V679" s="3">
        <v>100</v>
      </c>
      <c r="W679" s="3">
        <v>79.180000000000007</v>
      </c>
      <c r="X679" s="3">
        <v>82.54</v>
      </c>
      <c r="Y679" s="3" t="s">
        <v>59</v>
      </c>
    </row>
    <row r="680" spans="1:25" hidden="1" x14ac:dyDescent="0.3">
      <c r="A680">
        <v>415</v>
      </c>
      <c r="B680" t="s">
        <v>662</v>
      </c>
      <c r="C680" t="s">
        <v>47</v>
      </c>
      <c r="D680" t="s">
        <v>303</v>
      </c>
      <c r="E680" t="s">
        <v>28</v>
      </c>
      <c r="F680" t="s">
        <v>36</v>
      </c>
      <c r="G680" t="s">
        <v>30</v>
      </c>
      <c r="H680" t="s">
        <v>153</v>
      </c>
      <c r="I680">
        <v>100</v>
      </c>
      <c r="J680" t="s">
        <v>663</v>
      </c>
      <c r="K680" t="s">
        <v>186</v>
      </c>
      <c r="L680" t="s">
        <v>666</v>
      </c>
      <c r="M680" t="s">
        <v>667</v>
      </c>
      <c r="N680" s="3">
        <v>100</v>
      </c>
      <c r="O680" s="3">
        <v>89.8</v>
      </c>
      <c r="P680" s="3">
        <v>88.51</v>
      </c>
      <c r="Q680" s="3">
        <v>91.99</v>
      </c>
      <c r="R680" s="3">
        <v>100</v>
      </c>
      <c r="S680" s="3">
        <v>96</v>
      </c>
      <c r="T680" s="3">
        <v>85.88</v>
      </c>
      <c r="U680" s="3">
        <v>92.15</v>
      </c>
      <c r="V680" s="3">
        <v>100</v>
      </c>
      <c r="W680" s="3">
        <v>94.1</v>
      </c>
      <c r="X680" s="3">
        <v>106.82</v>
      </c>
      <c r="Y680" s="3" t="s">
        <v>59</v>
      </c>
    </row>
    <row r="681" spans="1:25" hidden="1" x14ac:dyDescent="0.3">
      <c r="A681">
        <v>415</v>
      </c>
      <c r="B681" t="s">
        <v>662</v>
      </c>
      <c r="C681" t="s">
        <v>47</v>
      </c>
      <c r="D681" t="s">
        <v>303</v>
      </c>
      <c r="E681" t="s">
        <v>28</v>
      </c>
      <c r="F681" t="s">
        <v>36</v>
      </c>
      <c r="G681" t="s">
        <v>30</v>
      </c>
      <c r="H681" t="s">
        <v>153</v>
      </c>
      <c r="I681">
        <v>100</v>
      </c>
      <c r="J681" t="s">
        <v>663</v>
      </c>
      <c r="K681" t="s">
        <v>186</v>
      </c>
      <c r="L681" t="s">
        <v>668</v>
      </c>
      <c r="M681" t="s">
        <v>669</v>
      </c>
      <c r="N681" s="3">
        <v>100</v>
      </c>
      <c r="O681" s="3">
        <v>86.17</v>
      </c>
      <c r="P681" s="3">
        <v>96.88</v>
      </c>
      <c r="Q681" s="3">
        <v>86.53</v>
      </c>
      <c r="R681" s="3">
        <v>94</v>
      </c>
      <c r="S681" s="3" t="s">
        <v>59</v>
      </c>
      <c r="T681" s="3" t="s">
        <v>59</v>
      </c>
      <c r="U681" s="3" t="s">
        <v>59</v>
      </c>
      <c r="V681" s="3">
        <v>84</v>
      </c>
      <c r="W681" s="3">
        <v>75.099999999999994</v>
      </c>
      <c r="X681" s="3">
        <v>63.79</v>
      </c>
      <c r="Y681" s="3" t="s">
        <v>59</v>
      </c>
    </row>
    <row r="682" spans="1:25" hidden="1" x14ac:dyDescent="0.3">
      <c r="A682">
        <v>415</v>
      </c>
      <c r="B682" t="s">
        <v>662</v>
      </c>
      <c r="C682" t="s">
        <v>47</v>
      </c>
      <c r="D682" t="s">
        <v>303</v>
      </c>
      <c r="E682" t="s">
        <v>28</v>
      </c>
      <c r="F682" t="s">
        <v>36</v>
      </c>
      <c r="G682" t="s">
        <v>30</v>
      </c>
      <c r="H682" t="s">
        <v>153</v>
      </c>
      <c r="I682">
        <v>100</v>
      </c>
      <c r="J682" t="s">
        <v>663</v>
      </c>
      <c r="K682" t="s">
        <v>186</v>
      </c>
      <c r="L682" t="s">
        <v>670</v>
      </c>
      <c r="M682" t="s">
        <v>671</v>
      </c>
      <c r="N682" s="3">
        <v>100</v>
      </c>
      <c r="O682" s="3">
        <v>119.61</v>
      </c>
      <c r="P682" s="3">
        <v>119.61</v>
      </c>
      <c r="Q682" s="3">
        <v>235.29</v>
      </c>
      <c r="R682" s="3">
        <v>95</v>
      </c>
      <c r="S682" s="3">
        <v>60</v>
      </c>
      <c r="T682" s="3">
        <v>74.569999999999993</v>
      </c>
      <c r="U682" s="3">
        <v>114.02</v>
      </c>
      <c r="V682" s="3">
        <v>98</v>
      </c>
      <c r="W682" s="3">
        <v>106.36</v>
      </c>
      <c r="X682" s="3">
        <v>86.21</v>
      </c>
      <c r="Y682" s="3" t="s">
        <v>59</v>
      </c>
    </row>
    <row r="683" spans="1:25" hidden="1" x14ac:dyDescent="0.3">
      <c r="A683">
        <v>415</v>
      </c>
      <c r="B683" t="s">
        <v>662</v>
      </c>
      <c r="C683" t="s">
        <v>47</v>
      </c>
      <c r="D683" t="s">
        <v>303</v>
      </c>
      <c r="E683" t="s">
        <v>28</v>
      </c>
      <c r="F683" t="s">
        <v>36</v>
      </c>
      <c r="G683" t="s">
        <v>30</v>
      </c>
      <c r="H683" t="s">
        <v>153</v>
      </c>
      <c r="I683">
        <v>100</v>
      </c>
      <c r="J683" t="s">
        <v>663</v>
      </c>
      <c r="K683" t="s">
        <v>186</v>
      </c>
      <c r="L683" t="s">
        <v>672</v>
      </c>
      <c r="M683" t="s">
        <v>673</v>
      </c>
      <c r="N683" s="3">
        <v>100</v>
      </c>
      <c r="O683" s="3">
        <v>98.92</v>
      </c>
      <c r="P683" s="3">
        <v>100</v>
      </c>
      <c r="Q683" s="3">
        <v>86.65</v>
      </c>
      <c r="R683" s="3">
        <v>100</v>
      </c>
      <c r="S683" s="3">
        <v>100</v>
      </c>
      <c r="T683" s="3">
        <v>121.83</v>
      </c>
      <c r="U683" s="3">
        <v>98.19</v>
      </c>
      <c r="V683" s="3">
        <v>100</v>
      </c>
      <c r="W683" s="3">
        <v>117.1</v>
      </c>
      <c r="X683" s="3">
        <v>120</v>
      </c>
      <c r="Y683" s="3" t="s">
        <v>59</v>
      </c>
    </row>
    <row r="684" spans="1:25" hidden="1" x14ac:dyDescent="0.3">
      <c r="A684">
        <v>415</v>
      </c>
      <c r="B684" t="s">
        <v>662</v>
      </c>
      <c r="C684" t="s">
        <v>47</v>
      </c>
      <c r="D684" t="s">
        <v>303</v>
      </c>
      <c r="E684" t="s">
        <v>28</v>
      </c>
      <c r="F684" t="s">
        <v>36</v>
      </c>
      <c r="G684" t="s">
        <v>30</v>
      </c>
      <c r="H684" t="s">
        <v>153</v>
      </c>
      <c r="I684">
        <v>100</v>
      </c>
      <c r="J684" t="s">
        <v>663</v>
      </c>
      <c r="K684" t="s">
        <v>186</v>
      </c>
      <c r="L684" t="s">
        <v>674</v>
      </c>
      <c r="M684" t="s">
        <v>675</v>
      </c>
      <c r="N684" s="3">
        <v>99.25</v>
      </c>
      <c r="O684" s="3">
        <v>101.11</v>
      </c>
      <c r="P684" s="3">
        <v>84.93</v>
      </c>
      <c r="Q684" s="3">
        <v>125.04</v>
      </c>
      <c r="R684" s="3">
        <v>100</v>
      </c>
      <c r="S684" s="3">
        <v>96.62</v>
      </c>
      <c r="T684" s="3">
        <v>106.68</v>
      </c>
      <c r="U684" s="3">
        <v>115.14</v>
      </c>
      <c r="V684" s="3">
        <v>90</v>
      </c>
      <c r="W684" s="3">
        <v>102.81</v>
      </c>
      <c r="X684" s="3">
        <v>116.67</v>
      </c>
      <c r="Y684" s="3" t="s">
        <v>59</v>
      </c>
    </row>
    <row r="685" spans="1:25" hidden="1" x14ac:dyDescent="0.3">
      <c r="A685">
        <v>415</v>
      </c>
      <c r="B685" t="s">
        <v>662</v>
      </c>
      <c r="C685" t="s">
        <v>47</v>
      </c>
      <c r="D685" t="s">
        <v>303</v>
      </c>
      <c r="E685" t="s">
        <v>28</v>
      </c>
      <c r="F685" t="s">
        <v>36</v>
      </c>
      <c r="G685" t="s">
        <v>30</v>
      </c>
      <c r="H685" t="s">
        <v>153</v>
      </c>
      <c r="I685">
        <v>100</v>
      </c>
      <c r="J685" t="s">
        <v>663</v>
      </c>
      <c r="K685" t="s">
        <v>186</v>
      </c>
      <c r="L685" t="s">
        <v>676</v>
      </c>
      <c r="M685" t="s">
        <v>677</v>
      </c>
      <c r="N685" s="3">
        <v>91.6</v>
      </c>
      <c r="O685" s="3">
        <v>82.47</v>
      </c>
      <c r="P685" s="3">
        <v>84.34</v>
      </c>
      <c r="Q685" s="3">
        <v>94.55</v>
      </c>
      <c r="R685" s="3">
        <v>97</v>
      </c>
      <c r="S685" s="3">
        <v>100</v>
      </c>
      <c r="T685" s="3">
        <v>73.290000000000006</v>
      </c>
      <c r="U685" s="3">
        <v>41.07</v>
      </c>
      <c r="V685" s="3">
        <v>100</v>
      </c>
      <c r="W685" s="3">
        <v>82.94</v>
      </c>
      <c r="X685" s="3">
        <v>82.26</v>
      </c>
      <c r="Y685" s="3" t="s">
        <v>59</v>
      </c>
    </row>
    <row r="686" spans="1:25" hidden="1" x14ac:dyDescent="0.3">
      <c r="A686">
        <v>415</v>
      </c>
      <c r="B686" t="s">
        <v>662</v>
      </c>
      <c r="C686" t="s">
        <v>47</v>
      </c>
      <c r="D686" t="s">
        <v>303</v>
      </c>
      <c r="E686" t="s">
        <v>28</v>
      </c>
      <c r="F686" t="s">
        <v>36</v>
      </c>
      <c r="G686" t="s">
        <v>30</v>
      </c>
      <c r="H686" t="s">
        <v>153</v>
      </c>
      <c r="I686">
        <v>100</v>
      </c>
      <c r="J686" t="s">
        <v>663</v>
      </c>
      <c r="K686" t="s">
        <v>186</v>
      </c>
      <c r="L686" t="s">
        <v>678</v>
      </c>
      <c r="M686" t="s">
        <v>679</v>
      </c>
      <c r="N686" s="3">
        <v>100</v>
      </c>
      <c r="O686" s="3">
        <v>90.43</v>
      </c>
      <c r="P686" s="3">
        <v>103.13</v>
      </c>
      <c r="Q686" s="3">
        <v>86.53</v>
      </c>
      <c r="R686" s="3">
        <v>97</v>
      </c>
      <c r="S686" s="3">
        <v>95</v>
      </c>
      <c r="T686" s="3">
        <v>123.09</v>
      </c>
      <c r="U686" s="3">
        <v>91.51</v>
      </c>
      <c r="V686" s="3">
        <v>91.51</v>
      </c>
      <c r="W686" s="3" t="s">
        <v>59</v>
      </c>
      <c r="X686" s="3" t="s">
        <v>59</v>
      </c>
      <c r="Y686" s="3" t="s">
        <v>59</v>
      </c>
    </row>
    <row r="687" spans="1:25" hidden="1" x14ac:dyDescent="0.3">
      <c r="A687">
        <v>415</v>
      </c>
      <c r="B687" t="s">
        <v>662</v>
      </c>
      <c r="C687" t="s">
        <v>47</v>
      </c>
      <c r="D687" t="s">
        <v>303</v>
      </c>
      <c r="E687" t="s">
        <v>28</v>
      </c>
      <c r="F687" t="s">
        <v>36</v>
      </c>
      <c r="G687" t="s">
        <v>30</v>
      </c>
      <c r="H687" t="s">
        <v>153</v>
      </c>
      <c r="I687">
        <v>100</v>
      </c>
      <c r="J687" t="s">
        <v>663</v>
      </c>
      <c r="K687" t="s">
        <v>186</v>
      </c>
      <c r="L687" t="s">
        <v>680</v>
      </c>
      <c r="M687" t="s">
        <v>681</v>
      </c>
      <c r="N687" s="3" t="s">
        <v>59</v>
      </c>
      <c r="O687" s="3" t="s">
        <v>59</v>
      </c>
      <c r="P687" s="3" t="s">
        <v>59</v>
      </c>
      <c r="Q687" s="3" t="s">
        <v>59</v>
      </c>
      <c r="R687" s="3">
        <v>100</v>
      </c>
      <c r="S687" s="3">
        <v>76.5</v>
      </c>
      <c r="T687" s="3">
        <v>90.42</v>
      </c>
      <c r="U687" s="3">
        <v>84.75</v>
      </c>
      <c r="V687" s="3" t="s">
        <v>59</v>
      </c>
      <c r="W687" s="3" t="s">
        <v>59</v>
      </c>
      <c r="X687" s="3" t="s">
        <v>59</v>
      </c>
      <c r="Y687" s="3" t="s">
        <v>59</v>
      </c>
    </row>
    <row r="688" spans="1:25" hidden="1" x14ac:dyDescent="0.3">
      <c r="A688">
        <v>415</v>
      </c>
      <c r="B688" t="s">
        <v>662</v>
      </c>
      <c r="C688" t="s">
        <v>47</v>
      </c>
      <c r="D688" t="s">
        <v>303</v>
      </c>
      <c r="E688" t="s">
        <v>28</v>
      </c>
      <c r="F688" t="s">
        <v>36</v>
      </c>
      <c r="G688" t="s">
        <v>30</v>
      </c>
      <c r="H688" t="s">
        <v>153</v>
      </c>
      <c r="I688">
        <v>100</v>
      </c>
      <c r="J688" t="s">
        <v>663</v>
      </c>
      <c r="K688" t="s">
        <v>186</v>
      </c>
      <c r="L688" t="s">
        <v>682</v>
      </c>
      <c r="M688" t="s">
        <v>683</v>
      </c>
      <c r="N688" s="3">
        <v>100</v>
      </c>
      <c r="O688" s="3">
        <v>90.32</v>
      </c>
      <c r="P688" s="3">
        <v>97.01</v>
      </c>
      <c r="Q688" s="3">
        <v>86.53</v>
      </c>
      <c r="R688" s="3">
        <v>94</v>
      </c>
      <c r="S688" s="3">
        <v>87.88</v>
      </c>
      <c r="T688" s="3">
        <v>84.72</v>
      </c>
      <c r="U688" s="3">
        <v>75.430000000000007</v>
      </c>
      <c r="V688" s="3" t="s">
        <v>59</v>
      </c>
      <c r="W688" s="3" t="s">
        <v>59</v>
      </c>
      <c r="X688" s="3" t="s">
        <v>59</v>
      </c>
      <c r="Y688" s="3" t="s">
        <v>59</v>
      </c>
    </row>
    <row r="689" spans="1:25" hidden="1" x14ac:dyDescent="0.3">
      <c r="A689">
        <v>415</v>
      </c>
      <c r="B689" t="s">
        <v>662</v>
      </c>
      <c r="C689" t="s">
        <v>47</v>
      </c>
      <c r="D689" t="s">
        <v>303</v>
      </c>
      <c r="E689" t="s">
        <v>28</v>
      </c>
      <c r="F689" t="s">
        <v>36</v>
      </c>
      <c r="G689" t="s">
        <v>30</v>
      </c>
      <c r="H689" t="s">
        <v>153</v>
      </c>
      <c r="I689">
        <v>100</v>
      </c>
      <c r="J689" t="s">
        <v>663</v>
      </c>
      <c r="K689" t="s">
        <v>186</v>
      </c>
      <c r="L689" t="s">
        <v>684</v>
      </c>
      <c r="M689" t="s">
        <v>685</v>
      </c>
      <c r="N689" s="3">
        <v>100</v>
      </c>
      <c r="O689" s="3">
        <v>102.06</v>
      </c>
      <c r="P689" s="3">
        <v>102.82</v>
      </c>
      <c r="Q689" s="3">
        <v>76.63</v>
      </c>
      <c r="R689" s="3">
        <v>100</v>
      </c>
      <c r="S689" s="3">
        <v>90</v>
      </c>
      <c r="T689" s="3">
        <v>95.25</v>
      </c>
      <c r="U689" s="3">
        <v>0</v>
      </c>
      <c r="V689" s="3" t="s">
        <v>59</v>
      </c>
      <c r="W689" s="3" t="s">
        <v>59</v>
      </c>
      <c r="X689" s="3" t="s">
        <v>59</v>
      </c>
      <c r="Y689" s="3" t="s">
        <v>59</v>
      </c>
    </row>
    <row r="690" spans="1:25" hidden="1" x14ac:dyDescent="0.3">
      <c r="A690">
        <v>415</v>
      </c>
      <c r="B690" t="s">
        <v>662</v>
      </c>
      <c r="C690" t="s">
        <v>47</v>
      </c>
      <c r="D690" t="s">
        <v>303</v>
      </c>
      <c r="E690" t="s">
        <v>28</v>
      </c>
      <c r="F690" t="s">
        <v>36</v>
      </c>
      <c r="G690" t="s">
        <v>30</v>
      </c>
      <c r="H690" t="s">
        <v>153</v>
      </c>
      <c r="I690">
        <v>100</v>
      </c>
      <c r="J690" t="s">
        <v>663</v>
      </c>
      <c r="K690" t="s">
        <v>186</v>
      </c>
      <c r="L690" t="s">
        <v>686</v>
      </c>
      <c r="M690" t="s">
        <v>687</v>
      </c>
      <c r="N690" s="3">
        <v>100</v>
      </c>
      <c r="O690" s="3">
        <v>94.68</v>
      </c>
      <c r="P690" s="3">
        <v>90.32</v>
      </c>
      <c r="Q690" s="3">
        <v>106.2</v>
      </c>
      <c r="R690" s="3">
        <v>100</v>
      </c>
      <c r="S690" s="3">
        <v>100</v>
      </c>
      <c r="T690" s="3">
        <v>97</v>
      </c>
      <c r="U690" s="3">
        <v>89.49</v>
      </c>
      <c r="V690" s="3" t="s">
        <v>59</v>
      </c>
      <c r="W690" s="3" t="s">
        <v>59</v>
      </c>
      <c r="X690" s="3" t="s">
        <v>59</v>
      </c>
      <c r="Y690" s="3" t="s">
        <v>59</v>
      </c>
    </row>
    <row r="691" spans="1:25" hidden="1" x14ac:dyDescent="0.3">
      <c r="A691">
        <v>415</v>
      </c>
      <c r="B691" t="s">
        <v>662</v>
      </c>
      <c r="C691" t="s">
        <v>47</v>
      </c>
      <c r="D691" t="s">
        <v>303</v>
      </c>
      <c r="E691" t="s">
        <v>28</v>
      </c>
      <c r="F691" t="s">
        <v>36</v>
      </c>
      <c r="G691" t="s">
        <v>30</v>
      </c>
      <c r="H691" t="s">
        <v>153</v>
      </c>
      <c r="I691">
        <v>100</v>
      </c>
      <c r="J691" t="s">
        <v>663</v>
      </c>
      <c r="K691" t="s">
        <v>186</v>
      </c>
      <c r="L691" t="s">
        <v>688</v>
      </c>
      <c r="M691" t="s">
        <v>689</v>
      </c>
      <c r="N691" s="3">
        <v>100</v>
      </c>
      <c r="O691" s="3">
        <v>96</v>
      </c>
      <c r="P691" s="3">
        <v>87.76</v>
      </c>
      <c r="Q691" s="3">
        <v>88.78</v>
      </c>
      <c r="R691" s="3">
        <v>100</v>
      </c>
      <c r="S691" s="3">
        <v>100</v>
      </c>
      <c r="T691" s="3">
        <v>88.27</v>
      </c>
      <c r="U691" s="3">
        <v>87.95</v>
      </c>
      <c r="V691" s="3" t="s">
        <v>59</v>
      </c>
      <c r="W691" s="3" t="s">
        <v>59</v>
      </c>
      <c r="X691" s="3" t="s">
        <v>59</v>
      </c>
      <c r="Y691" s="3" t="s">
        <v>59</v>
      </c>
    </row>
    <row r="692" spans="1:25" hidden="1" x14ac:dyDescent="0.3">
      <c r="A692">
        <v>415</v>
      </c>
      <c r="B692" t="s">
        <v>662</v>
      </c>
      <c r="C692" t="s">
        <v>47</v>
      </c>
      <c r="D692" t="s">
        <v>303</v>
      </c>
      <c r="E692" t="s">
        <v>28</v>
      </c>
      <c r="F692" t="s">
        <v>36</v>
      </c>
      <c r="G692" t="s">
        <v>30</v>
      </c>
      <c r="H692" t="s">
        <v>153</v>
      </c>
      <c r="I692">
        <v>100</v>
      </c>
      <c r="J692" t="s">
        <v>663</v>
      </c>
      <c r="K692" t="s">
        <v>186</v>
      </c>
      <c r="L692" t="s">
        <v>690</v>
      </c>
      <c r="M692" t="s">
        <v>691</v>
      </c>
      <c r="N692" s="3">
        <v>100</v>
      </c>
      <c r="O692" s="3">
        <v>91.75</v>
      </c>
      <c r="P692" s="3">
        <v>100</v>
      </c>
      <c r="Q692" s="3">
        <v>99.12</v>
      </c>
      <c r="R692" s="3">
        <v>100</v>
      </c>
      <c r="S692" s="3">
        <v>100</v>
      </c>
      <c r="T692" s="3">
        <v>85</v>
      </c>
      <c r="U692" s="3">
        <v>93.41</v>
      </c>
      <c r="V692" s="3" t="s">
        <v>59</v>
      </c>
      <c r="W692" s="3" t="s">
        <v>59</v>
      </c>
      <c r="X692" s="3" t="s">
        <v>59</v>
      </c>
      <c r="Y692" s="3" t="s">
        <v>59</v>
      </c>
    </row>
    <row r="693" spans="1:25" hidden="1" x14ac:dyDescent="0.3">
      <c r="A693" s="1">
        <v>416</v>
      </c>
      <c r="B693" s="1" t="s">
        <v>692</v>
      </c>
      <c r="C693" s="1" t="s">
        <v>47</v>
      </c>
      <c r="D693" s="1" t="s">
        <v>303</v>
      </c>
      <c r="E693" s="1" t="s">
        <v>28</v>
      </c>
      <c r="F693" s="1" t="s">
        <v>36</v>
      </c>
      <c r="G693" s="1" t="s">
        <v>30</v>
      </c>
      <c r="H693" s="1" t="s">
        <v>153</v>
      </c>
      <c r="I693" s="1">
        <v>100</v>
      </c>
      <c r="J693" s="1" t="s">
        <v>693</v>
      </c>
      <c r="K693" s="1" t="s">
        <v>186</v>
      </c>
      <c r="L693" s="1" t="s">
        <v>34</v>
      </c>
      <c r="M693" s="1" t="s">
        <v>34</v>
      </c>
      <c r="N693" s="4">
        <v>100</v>
      </c>
      <c r="O693" s="6">
        <v>96.48</v>
      </c>
      <c r="P693" s="5">
        <v>109.24</v>
      </c>
      <c r="Q693" s="5">
        <v>170.92</v>
      </c>
      <c r="R693" s="4">
        <v>100</v>
      </c>
      <c r="S693" s="6">
        <v>99.81</v>
      </c>
      <c r="T693" s="5">
        <v>117.1</v>
      </c>
      <c r="U693" s="5">
        <v>120.07</v>
      </c>
      <c r="V693" s="6">
        <v>98</v>
      </c>
      <c r="W693" s="6">
        <v>87.94</v>
      </c>
      <c r="X693" s="6">
        <v>95.74</v>
      </c>
      <c r="Y693" s="3">
        <v>0</v>
      </c>
    </row>
    <row r="694" spans="1:25" hidden="1" x14ac:dyDescent="0.3">
      <c r="A694">
        <v>416</v>
      </c>
      <c r="B694" t="s">
        <v>692</v>
      </c>
      <c r="C694" t="s">
        <v>47</v>
      </c>
      <c r="D694" t="s">
        <v>303</v>
      </c>
      <c r="E694" t="s">
        <v>28</v>
      </c>
      <c r="F694" t="s">
        <v>36</v>
      </c>
      <c r="G694" t="s">
        <v>30</v>
      </c>
      <c r="H694" t="s">
        <v>153</v>
      </c>
      <c r="I694">
        <v>100</v>
      </c>
      <c r="J694" t="s">
        <v>693</v>
      </c>
      <c r="K694" t="s">
        <v>186</v>
      </c>
      <c r="L694" t="s">
        <v>694</v>
      </c>
      <c r="M694" t="s">
        <v>695</v>
      </c>
      <c r="N694" s="3">
        <v>100</v>
      </c>
      <c r="O694" s="3">
        <v>100</v>
      </c>
      <c r="P694" s="3">
        <v>117.74</v>
      </c>
      <c r="Q694" s="3">
        <v>98.2</v>
      </c>
      <c r="R694" s="3">
        <v>100</v>
      </c>
      <c r="S694" s="3">
        <v>109.89</v>
      </c>
      <c r="T694" s="3">
        <v>100.85</v>
      </c>
      <c r="U694" s="3">
        <v>81.02</v>
      </c>
      <c r="V694" s="3">
        <v>100</v>
      </c>
      <c r="W694" s="3">
        <v>87.04</v>
      </c>
      <c r="X694" s="3">
        <v>98.41</v>
      </c>
      <c r="Y694" s="3" t="s">
        <v>59</v>
      </c>
    </row>
    <row r="695" spans="1:25" hidden="1" x14ac:dyDescent="0.3">
      <c r="A695">
        <v>416</v>
      </c>
      <c r="B695" t="s">
        <v>692</v>
      </c>
      <c r="C695" t="s">
        <v>47</v>
      </c>
      <c r="D695" t="s">
        <v>303</v>
      </c>
      <c r="E695" t="s">
        <v>28</v>
      </c>
      <c r="F695" t="s">
        <v>36</v>
      </c>
      <c r="G695" t="s">
        <v>30</v>
      </c>
      <c r="H695" t="s">
        <v>153</v>
      </c>
      <c r="I695">
        <v>100</v>
      </c>
      <c r="J695" t="s">
        <v>693</v>
      </c>
      <c r="K695" t="s">
        <v>186</v>
      </c>
      <c r="L695" t="s">
        <v>696</v>
      </c>
      <c r="M695" t="s">
        <v>697</v>
      </c>
      <c r="N695" s="3">
        <v>100</v>
      </c>
      <c r="O695" s="3">
        <v>88</v>
      </c>
      <c r="P695" s="3">
        <v>66.67</v>
      </c>
      <c r="Q695" s="3">
        <v>94.64</v>
      </c>
      <c r="R695" s="3">
        <v>100</v>
      </c>
      <c r="S695" s="3">
        <v>87.8</v>
      </c>
      <c r="T695" s="3">
        <v>97.16</v>
      </c>
      <c r="U695" s="3">
        <v>92.12</v>
      </c>
      <c r="V695" s="3">
        <v>96</v>
      </c>
      <c r="W695" s="3">
        <v>88.8</v>
      </c>
      <c r="X695" s="3">
        <v>93.59</v>
      </c>
      <c r="Y695" s="3" t="s">
        <v>59</v>
      </c>
    </row>
    <row r="696" spans="1:25" hidden="1" x14ac:dyDescent="0.3">
      <c r="A696">
        <v>416</v>
      </c>
      <c r="B696" t="s">
        <v>692</v>
      </c>
      <c r="C696" t="s">
        <v>47</v>
      </c>
      <c r="D696" t="s">
        <v>303</v>
      </c>
      <c r="E696" t="s">
        <v>28</v>
      </c>
      <c r="F696" t="s">
        <v>36</v>
      </c>
      <c r="G696" t="s">
        <v>30</v>
      </c>
      <c r="H696" t="s">
        <v>153</v>
      </c>
      <c r="I696">
        <v>100</v>
      </c>
      <c r="J696" t="s">
        <v>693</v>
      </c>
      <c r="K696" t="s">
        <v>186</v>
      </c>
      <c r="L696" t="s">
        <v>698</v>
      </c>
      <c r="M696" t="s">
        <v>699</v>
      </c>
      <c r="N696" s="3">
        <v>100</v>
      </c>
      <c r="O696" s="3">
        <v>98</v>
      </c>
      <c r="P696" s="3">
        <v>100</v>
      </c>
      <c r="Q696" s="3">
        <v>121.73</v>
      </c>
      <c r="R696" s="3">
        <v>100</v>
      </c>
      <c r="S696" s="3">
        <v>109.76</v>
      </c>
      <c r="T696" s="3">
        <v>213.52</v>
      </c>
      <c r="U696" s="3">
        <v>318.47000000000003</v>
      </c>
      <c r="V696" s="3" t="s">
        <v>59</v>
      </c>
      <c r="W696" s="3" t="s">
        <v>59</v>
      </c>
      <c r="X696" s="3" t="s">
        <v>59</v>
      </c>
      <c r="Y696" s="3" t="s">
        <v>59</v>
      </c>
    </row>
    <row r="697" spans="1:25" hidden="1" x14ac:dyDescent="0.3">
      <c r="A697">
        <v>416</v>
      </c>
      <c r="B697" t="s">
        <v>692</v>
      </c>
      <c r="C697" t="s">
        <v>47</v>
      </c>
      <c r="D697" t="s">
        <v>303</v>
      </c>
      <c r="E697" t="s">
        <v>28</v>
      </c>
      <c r="F697" t="s">
        <v>36</v>
      </c>
      <c r="G697" t="s">
        <v>30</v>
      </c>
      <c r="H697" t="s">
        <v>153</v>
      </c>
      <c r="I697">
        <v>100</v>
      </c>
      <c r="J697" t="s">
        <v>693</v>
      </c>
      <c r="K697" t="s">
        <v>186</v>
      </c>
      <c r="L697" t="s">
        <v>700</v>
      </c>
      <c r="M697" t="s">
        <v>701</v>
      </c>
      <c r="N697" s="3">
        <v>100</v>
      </c>
      <c r="O697" s="3">
        <v>105.26</v>
      </c>
      <c r="P697" s="3">
        <v>172.41</v>
      </c>
      <c r="Q697" s="3">
        <v>85.05</v>
      </c>
      <c r="R697" s="3">
        <v>100</v>
      </c>
      <c r="S697" s="3">
        <v>94.74</v>
      </c>
      <c r="T697" s="3">
        <v>101.87</v>
      </c>
      <c r="U697" s="3">
        <v>98.09</v>
      </c>
      <c r="V697" s="3" t="s">
        <v>59</v>
      </c>
      <c r="W697" s="3" t="s">
        <v>59</v>
      </c>
      <c r="X697" s="3" t="s">
        <v>59</v>
      </c>
      <c r="Y697" s="3" t="s">
        <v>59</v>
      </c>
    </row>
    <row r="698" spans="1:25" hidden="1" x14ac:dyDescent="0.3">
      <c r="A698">
        <v>416</v>
      </c>
      <c r="B698" t="s">
        <v>692</v>
      </c>
      <c r="C698" t="s">
        <v>47</v>
      </c>
      <c r="D698" t="s">
        <v>303</v>
      </c>
      <c r="E698" t="s">
        <v>28</v>
      </c>
      <c r="F698" t="s">
        <v>36</v>
      </c>
      <c r="G698" t="s">
        <v>30</v>
      </c>
      <c r="H698" t="s">
        <v>153</v>
      </c>
      <c r="I698">
        <v>100</v>
      </c>
      <c r="J698" t="s">
        <v>693</v>
      </c>
      <c r="K698" t="s">
        <v>186</v>
      </c>
      <c r="L698" t="s">
        <v>702</v>
      </c>
      <c r="M698" t="s">
        <v>703</v>
      </c>
      <c r="N698" s="3">
        <v>100</v>
      </c>
      <c r="O698" s="3">
        <v>87.63</v>
      </c>
      <c r="P698" s="3">
        <v>118.6</v>
      </c>
      <c r="Q698" s="3">
        <v>553.1</v>
      </c>
      <c r="R698" s="3">
        <v>100</v>
      </c>
      <c r="S698" s="3">
        <v>98.75</v>
      </c>
      <c r="T698" s="3">
        <v>96.47</v>
      </c>
      <c r="U698" s="3">
        <v>120.36</v>
      </c>
      <c r="V698" s="3" t="s">
        <v>59</v>
      </c>
      <c r="W698" s="3" t="s">
        <v>59</v>
      </c>
      <c r="X698" s="3" t="s">
        <v>59</v>
      </c>
      <c r="Y698" s="3" t="s">
        <v>59</v>
      </c>
    </row>
    <row r="699" spans="1:25" hidden="1" x14ac:dyDescent="0.3">
      <c r="A699">
        <v>416</v>
      </c>
      <c r="B699" t="s">
        <v>692</v>
      </c>
      <c r="C699" t="s">
        <v>47</v>
      </c>
      <c r="D699" t="s">
        <v>303</v>
      </c>
      <c r="E699" t="s">
        <v>28</v>
      </c>
      <c r="F699" t="s">
        <v>36</v>
      </c>
      <c r="G699" t="s">
        <v>30</v>
      </c>
      <c r="H699" t="s">
        <v>153</v>
      </c>
      <c r="I699">
        <v>100</v>
      </c>
      <c r="J699" t="s">
        <v>693</v>
      </c>
      <c r="K699" t="s">
        <v>186</v>
      </c>
      <c r="L699" t="s">
        <v>704</v>
      </c>
      <c r="M699" t="s">
        <v>705</v>
      </c>
      <c r="N699" s="3">
        <v>100</v>
      </c>
      <c r="O699" s="3">
        <v>100</v>
      </c>
      <c r="P699" s="3">
        <v>80</v>
      </c>
      <c r="Q699" s="3">
        <v>72.8</v>
      </c>
      <c r="R699" s="3">
        <v>100</v>
      </c>
      <c r="S699" s="3">
        <v>97.75</v>
      </c>
      <c r="T699" s="3">
        <v>107.16</v>
      </c>
      <c r="U699" s="3">
        <v>126.99</v>
      </c>
      <c r="V699" s="3" t="s">
        <v>59</v>
      </c>
      <c r="W699" s="3" t="s">
        <v>59</v>
      </c>
      <c r="X699" s="3" t="s">
        <v>59</v>
      </c>
      <c r="Y699" s="3" t="s">
        <v>59</v>
      </c>
    </row>
    <row r="700" spans="1:25" hidden="1" x14ac:dyDescent="0.3">
      <c r="A700" s="1">
        <v>417</v>
      </c>
      <c r="B700" s="1" t="s">
        <v>706</v>
      </c>
      <c r="C700" s="1" t="s">
        <v>47</v>
      </c>
      <c r="D700" s="1" t="s">
        <v>303</v>
      </c>
      <c r="E700" s="1" t="s">
        <v>28</v>
      </c>
      <c r="F700" s="1" t="s">
        <v>36</v>
      </c>
      <c r="G700" s="1" t="s">
        <v>30</v>
      </c>
      <c r="H700" s="1" t="s">
        <v>153</v>
      </c>
      <c r="I700" s="1">
        <v>100</v>
      </c>
      <c r="J700" s="1" t="s">
        <v>707</v>
      </c>
      <c r="K700" s="1" t="s">
        <v>186</v>
      </c>
      <c r="L700" s="1" t="s">
        <v>34</v>
      </c>
      <c r="M700" s="1" t="s">
        <v>34</v>
      </c>
      <c r="N700" s="6">
        <v>97.99</v>
      </c>
      <c r="O700" s="6">
        <v>99.34</v>
      </c>
      <c r="P700" s="5">
        <v>101.28</v>
      </c>
      <c r="Q700" s="6">
        <v>93.68</v>
      </c>
      <c r="R700" s="6">
        <v>98.83</v>
      </c>
      <c r="S700" s="4">
        <v>100.19</v>
      </c>
      <c r="T700" s="5">
        <v>112.12</v>
      </c>
      <c r="U700" s="6">
        <v>99.01</v>
      </c>
      <c r="V700" s="6">
        <v>94.39</v>
      </c>
      <c r="W700" s="6">
        <v>93.756666666667002</v>
      </c>
      <c r="X700" s="5">
        <v>110.66833333333</v>
      </c>
      <c r="Y700" s="3">
        <v>0</v>
      </c>
    </row>
    <row r="701" spans="1:25" hidden="1" x14ac:dyDescent="0.3">
      <c r="A701">
        <v>417</v>
      </c>
      <c r="B701" t="s">
        <v>706</v>
      </c>
      <c r="C701" t="s">
        <v>47</v>
      </c>
      <c r="D701" t="s">
        <v>303</v>
      </c>
      <c r="E701" t="s">
        <v>28</v>
      </c>
      <c r="F701" t="s">
        <v>36</v>
      </c>
      <c r="G701" t="s">
        <v>30</v>
      </c>
      <c r="H701" t="s">
        <v>153</v>
      </c>
      <c r="I701">
        <v>100</v>
      </c>
      <c r="J701" t="s">
        <v>707</v>
      </c>
      <c r="K701" t="s">
        <v>186</v>
      </c>
      <c r="L701" t="s">
        <v>708</v>
      </c>
      <c r="M701" t="s">
        <v>709</v>
      </c>
      <c r="N701" s="3">
        <v>100</v>
      </c>
      <c r="O701" s="3">
        <v>98.95</v>
      </c>
      <c r="P701" s="3">
        <v>117.91</v>
      </c>
      <c r="Q701" s="3">
        <v>71.069999999999993</v>
      </c>
      <c r="R701" s="3">
        <v>100</v>
      </c>
      <c r="S701" s="3">
        <v>105.81</v>
      </c>
      <c r="T701" s="3">
        <v>99.14</v>
      </c>
      <c r="U701" s="3">
        <v>97.28</v>
      </c>
      <c r="V701" s="3">
        <v>94</v>
      </c>
      <c r="W701" s="3">
        <v>95.94</v>
      </c>
      <c r="X701" s="3">
        <v>112</v>
      </c>
      <c r="Y701" s="3" t="s">
        <v>59</v>
      </c>
    </row>
    <row r="702" spans="1:25" hidden="1" x14ac:dyDescent="0.3">
      <c r="A702">
        <v>417</v>
      </c>
      <c r="B702" t="s">
        <v>706</v>
      </c>
      <c r="C702" t="s">
        <v>47</v>
      </c>
      <c r="D702" t="s">
        <v>303</v>
      </c>
      <c r="E702" t="s">
        <v>28</v>
      </c>
      <c r="F702" t="s">
        <v>36</v>
      </c>
      <c r="G702" t="s">
        <v>30</v>
      </c>
      <c r="H702" t="s">
        <v>153</v>
      </c>
      <c r="I702">
        <v>100</v>
      </c>
      <c r="J702" t="s">
        <v>707</v>
      </c>
      <c r="K702" t="s">
        <v>186</v>
      </c>
      <c r="L702" t="s">
        <v>710</v>
      </c>
      <c r="M702" t="s">
        <v>711</v>
      </c>
      <c r="N702" s="3">
        <v>88.96</v>
      </c>
      <c r="O702" s="3">
        <v>82.61</v>
      </c>
      <c r="P702" s="3">
        <v>88.89</v>
      </c>
      <c r="Q702" s="3">
        <v>109.03</v>
      </c>
      <c r="R702" s="3">
        <v>100</v>
      </c>
      <c r="S702" s="3">
        <v>106.59</v>
      </c>
      <c r="T702" s="3">
        <v>118.67</v>
      </c>
      <c r="U702" s="3">
        <v>109.1</v>
      </c>
      <c r="V702" s="3">
        <v>86.67</v>
      </c>
      <c r="W702" s="3">
        <v>79.099999999999994</v>
      </c>
      <c r="X702" s="3">
        <v>84.13</v>
      </c>
      <c r="Y702" s="3" t="s">
        <v>59</v>
      </c>
    </row>
    <row r="703" spans="1:25" hidden="1" x14ac:dyDescent="0.3">
      <c r="A703">
        <v>417</v>
      </c>
      <c r="B703" t="s">
        <v>706</v>
      </c>
      <c r="C703" t="s">
        <v>47</v>
      </c>
      <c r="D703" t="s">
        <v>303</v>
      </c>
      <c r="E703" t="s">
        <v>28</v>
      </c>
      <c r="F703" t="s">
        <v>36</v>
      </c>
      <c r="G703" t="s">
        <v>30</v>
      </c>
      <c r="H703" t="s">
        <v>153</v>
      </c>
      <c r="I703">
        <v>100</v>
      </c>
      <c r="J703" t="s">
        <v>707</v>
      </c>
      <c r="K703" t="s">
        <v>186</v>
      </c>
      <c r="L703" t="s">
        <v>712</v>
      </c>
      <c r="M703" t="s">
        <v>713</v>
      </c>
      <c r="N703" s="3">
        <v>100</v>
      </c>
      <c r="O703" s="3">
        <v>104.44</v>
      </c>
      <c r="P703" s="3">
        <v>112</v>
      </c>
      <c r="Q703" s="3">
        <v>93.71</v>
      </c>
      <c r="R703" s="3">
        <v>100</v>
      </c>
      <c r="S703" s="3">
        <v>93.18</v>
      </c>
      <c r="T703" s="3">
        <v>141.27000000000001</v>
      </c>
      <c r="U703" s="3">
        <v>110.23</v>
      </c>
      <c r="V703" s="3">
        <v>93.75</v>
      </c>
      <c r="W703" s="3">
        <v>103.59</v>
      </c>
      <c r="X703" s="3">
        <v>132.13999999999999</v>
      </c>
      <c r="Y703" s="3" t="s">
        <v>59</v>
      </c>
    </row>
    <row r="704" spans="1:25" hidden="1" x14ac:dyDescent="0.3">
      <c r="A704">
        <v>417</v>
      </c>
      <c r="B704" t="s">
        <v>706</v>
      </c>
      <c r="C704" t="s">
        <v>47</v>
      </c>
      <c r="D704" t="s">
        <v>303</v>
      </c>
      <c r="E704" t="s">
        <v>28</v>
      </c>
      <c r="F704" t="s">
        <v>36</v>
      </c>
      <c r="G704" t="s">
        <v>30</v>
      </c>
      <c r="H704" t="s">
        <v>153</v>
      </c>
      <c r="I704">
        <v>100</v>
      </c>
      <c r="J704" t="s">
        <v>707</v>
      </c>
      <c r="K704" t="s">
        <v>186</v>
      </c>
      <c r="L704" t="s">
        <v>714</v>
      </c>
      <c r="M704" t="s">
        <v>715</v>
      </c>
      <c r="N704" s="3">
        <v>100</v>
      </c>
      <c r="O704" s="3">
        <v>101.12</v>
      </c>
      <c r="P704" s="3">
        <v>109.09</v>
      </c>
      <c r="Q704" s="3">
        <v>107.05</v>
      </c>
      <c r="R704" s="3">
        <v>97</v>
      </c>
      <c r="S704" s="3">
        <v>104.88</v>
      </c>
      <c r="T704" s="3">
        <v>104.3</v>
      </c>
      <c r="U704" s="3">
        <v>99.97</v>
      </c>
      <c r="V704" s="3">
        <v>98.75</v>
      </c>
      <c r="W704" s="3">
        <v>102.32</v>
      </c>
      <c r="X704" s="3">
        <v>121.15</v>
      </c>
      <c r="Y704" s="3" t="s">
        <v>59</v>
      </c>
    </row>
    <row r="705" spans="1:25" hidden="1" x14ac:dyDescent="0.3">
      <c r="A705">
        <v>417</v>
      </c>
      <c r="B705" t="s">
        <v>706</v>
      </c>
      <c r="C705" t="s">
        <v>47</v>
      </c>
      <c r="D705" t="s">
        <v>303</v>
      </c>
      <c r="E705" t="s">
        <v>28</v>
      </c>
      <c r="F705" t="s">
        <v>36</v>
      </c>
      <c r="G705" t="s">
        <v>30</v>
      </c>
      <c r="H705" t="s">
        <v>153</v>
      </c>
      <c r="I705">
        <v>100</v>
      </c>
      <c r="J705" t="s">
        <v>707</v>
      </c>
      <c r="K705" t="s">
        <v>186</v>
      </c>
      <c r="L705" t="s">
        <v>716</v>
      </c>
      <c r="M705" t="s">
        <v>717</v>
      </c>
      <c r="N705" s="3">
        <v>100</v>
      </c>
      <c r="O705" s="3">
        <v>104.26</v>
      </c>
      <c r="P705" s="3">
        <v>88.89</v>
      </c>
      <c r="Q705" s="3">
        <v>94.79</v>
      </c>
      <c r="R705" s="3">
        <v>97</v>
      </c>
      <c r="S705" s="3">
        <v>91.57</v>
      </c>
      <c r="T705" s="3">
        <v>109.31</v>
      </c>
      <c r="U705" s="3">
        <v>109.43</v>
      </c>
      <c r="V705" s="3">
        <v>94.17</v>
      </c>
      <c r="W705" s="3">
        <v>77.2</v>
      </c>
      <c r="X705" s="3">
        <v>111.36</v>
      </c>
      <c r="Y705" s="3" t="s">
        <v>59</v>
      </c>
    </row>
    <row r="706" spans="1:25" hidden="1" x14ac:dyDescent="0.3">
      <c r="A706">
        <v>417</v>
      </c>
      <c r="B706" t="s">
        <v>706</v>
      </c>
      <c r="C706" t="s">
        <v>47</v>
      </c>
      <c r="D706" t="s">
        <v>303</v>
      </c>
      <c r="E706" t="s">
        <v>28</v>
      </c>
      <c r="F706" t="s">
        <v>36</v>
      </c>
      <c r="G706" t="s">
        <v>30</v>
      </c>
      <c r="H706" t="s">
        <v>153</v>
      </c>
      <c r="I706">
        <v>100</v>
      </c>
      <c r="J706" t="s">
        <v>707</v>
      </c>
      <c r="K706" t="s">
        <v>186</v>
      </c>
      <c r="L706" t="s">
        <v>718</v>
      </c>
      <c r="M706" t="s">
        <v>719</v>
      </c>
      <c r="N706" s="3">
        <v>99</v>
      </c>
      <c r="O706" s="3">
        <v>104.65</v>
      </c>
      <c r="P706" s="3">
        <v>90.91</v>
      </c>
      <c r="Q706" s="3">
        <v>86.42</v>
      </c>
      <c r="R706" s="3">
        <v>99</v>
      </c>
      <c r="S706" s="3">
        <v>98.89</v>
      </c>
      <c r="T706" s="3">
        <v>100</v>
      </c>
      <c r="U706" s="3">
        <v>68.06</v>
      </c>
      <c r="V706" s="3">
        <v>99</v>
      </c>
      <c r="W706" s="3">
        <v>104.39</v>
      </c>
      <c r="X706" s="3">
        <v>103.23</v>
      </c>
      <c r="Y706" s="3" t="s">
        <v>59</v>
      </c>
    </row>
    <row r="707" spans="1:25" hidden="1" x14ac:dyDescent="0.3">
      <c r="A707" s="1">
        <v>418</v>
      </c>
      <c r="B707" s="1" t="s">
        <v>720</v>
      </c>
      <c r="C707" s="1" t="s">
        <v>47</v>
      </c>
      <c r="D707" s="1" t="s">
        <v>303</v>
      </c>
      <c r="E707" s="1" t="s">
        <v>28</v>
      </c>
      <c r="F707" s="1" t="s">
        <v>36</v>
      </c>
      <c r="G707" s="1" t="s">
        <v>30</v>
      </c>
      <c r="H707" s="1" t="s">
        <v>153</v>
      </c>
      <c r="I707" s="1">
        <v>100</v>
      </c>
      <c r="J707" s="1" t="s">
        <v>721</v>
      </c>
      <c r="K707" s="1" t="s">
        <v>186</v>
      </c>
      <c r="L707" s="1" t="s">
        <v>34</v>
      </c>
      <c r="M707" s="1" t="s">
        <v>34</v>
      </c>
      <c r="N707" s="6">
        <v>99.61</v>
      </c>
      <c r="O707" s="6">
        <v>93.96</v>
      </c>
      <c r="P707" s="5">
        <v>105.83</v>
      </c>
      <c r="Q707" s="5">
        <v>246.7</v>
      </c>
      <c r="R707" s="6">
        <v>97.78</v>
      </c>
      <c r="S707" s="6">
        <v>97.2</v>
      </c>
      <c r="T707" s="4">
        <v>100.79</v>
      </c>
      <c r="U707" s="5">
        <v>105.5</v>
      </c>
      <c r="V707" s="6">
        <v>95.802222222221999</v>
      </c>
      <c r="W707" s="6">
        <v>85.611111111111001</v>
      </c>
      <c r="X707" s="5">
        <v>104.35666666666999</v>
      </c>
      <c r="Y707" s="3">
        <v>0</v>
      </c>
    </row>
    <row r="708" spans="1:25" hidden="1" x14ac:dyDescent="0.3">
      <c r="A708">
        <v>418</v>
      </c>
      <c r="B708" t="s">
        <v>720</v>
      </c>
      <c r="C708" t="s">
        <v>47</v>
      </c>
      <c r="D708" t="s">
        <v>303</v>
      </c>
      <c r="E708" t="s">
        <v>28</v>
      </c>
      <c r="F708" t="s">
        <v>36</v>
      </c>
      <c r="G708" t="s">
        <v>30</v>
      </c>
      <c r="H708" t="s">
        <v>153</v>
      </c>
      <c r="I708">
        <v>100</v>
      </c>
      <c r="J708" t="s">
        <v>721</v>
      </c>
      <c r="K708" t="s">
        <v>186</v>
      </c>
      <c r="L708" t="s">
        <v>722</v>
      </c>
      <c r="M708" t="s">
        <v>723</v>
      </c>
      <c r="N708" s="3">
        <v>100</v>
      </c>
      <c r="O708" s="3">
        <v>107.23</v>
      </c>
      <c r="P708" s="3">
        <v>105.66</v>
      </c>
      <c r="Q708" s="3">
        <v>105.72</v>
      </c>
      <c r="R708" s="3">
        <v>100</v>
      </c>
      <c r="S708" s="3">
        <v>108.75</v>
      </c>
      <c r="T708" s="3">
        <v>135.49</v>
      </c>
      <c r="U708" s="3">
        <v>129.35</v>
      </c>
      <c r="V708" s="3">
        <v>87.5</v>
      </c>
      <c r="W708" s="3">
        <v>62.61</v>
      </c>
      <c r="X708" s="3">
        <v>106.98</v>
      </c>
      <c r="Y708" s="3" t="s">
        <v>59</v>
      </c>
    </row>
    <row r="709" spans="1:25" hidden="1" x14ac:dyDescent="0.3">
      <c r="A709">
        <v>418</v>
      </c>
      <c r="B709" t="s">
        <v>720</v>
      </c>
      <c r="C709" t="s">
        <v>47</v>
      </c>
      <c r="D709" t="s">
        <v>303</v>
      </c>
      <c r="E709" t="s">
        <v>28</v>
      </c>
      <c r="F709" t="s">
        <v>36</v>
      </c>
      <c r="G709" t="s">
        <v>30</v>
      </c>
      <c r="H709" t="s">
        <v>153</v>
      </c>
      <c r="I709">
        <v>100</v>
      </c>
      <c r="J709" t="s">
        <v>721</v>
      </c>
      <c r="K709" t="s">
        <v>186</v>
      </c>
      <c r="L709" t="s">
        <v>724</v>
      </c>
      <c r="M709" t="s">
        <v>725</v>
      </c>
      <c r="N709" s="3">
        <v>99.38</v>
      </c>
      <c r="O709" s="3">
        <v>81.52</v>
      </c>
      <c r="P709" s="3">
        <v>100</v>
      </c>
      <c r="Q709" s="3">
        <v>1175</v>
      </c>
      <c r="R709" s="3">
        <v>100</v>
      </c>
      <c r="S709" s="3">
        <v>61.62</v>
      </c>
      <c r="T709" s="3">
        <v>68.099999999999994</v>
      </c>
      <c r="U709" s="3">
        <v>65.040000000000006</v>
      </c>
      <c r="V709" s="3">
        <v>86.25</v>
      </c>
      <c r="W709" s="3">
        <v>54.44</v>
      </c>
      <c r="X709" s="3">
        <v>51.28</v>
      </c>
      <c r="Y709" s="3" t="s">
        <v>59</v>
      </c>
    </row>
    <row r="710" spans="1:25" hidden="1" x14ac:dyDescent="0.3">
      <c r="A710">
        <v>418</v>
      </c>
      <c r="B710" t="s">
        <v>720</v>
      </c>
      <c r="C710" t="s">
        <v>47</v>
      </c>
      <c r="D710" t="s">
        <v>303</v>
      </c>
      <c r="E710" t="s">
        <v>28</v>
      </c>
      <c r="F710" t="s">
        <v>36</v>
      </c>
      <c r="G710" t="s">
        <v>30</v>
      </c>
      <c r="H710" t="s">
        <v>153</v>
      </c>
      <c r="I710">
        <v>100</v>
      </c>
      <c r="J710" t="s">
        <v>721</v>
      </c>
      <c r="K710" t="s">
        <v>186</v>
      </c>
      <c r="L710" t="s">
        <v>726</v>
      </c>
      <c r="M710" t="s">
        <v>727</v>
      </c>
      <c r="N710" s="3">
        <v>97.5</v>
      </c>
      <c r="O710" s="3">
        <v>91.75</v>
      </c>
      <c r="P710" s="3">
        <v>100</v>
      </c>
      <c r="Q710" s="3">
        <v>69.28</v>
      </c>
      <c r="R710" s="3">
        <v>80</v>
      </c>
      <c r="S710" s="3">
        <v>91.46</v>
      </c>
      <c r="T710" s="3">
        <v>106.76</v>
      </c>
      <c r="U710" s="3">
        <v>159.24</v>
      </c>
      <c r="V710" s="3">
        <v>90.95</v>
      </c>
      <c r="W710" s="3">
        <v>88.04</v>
      </c>
      <c r="X710" s="3">
        <v>112.5</v>
      </c>
      <c r="Y710" s="3" t="s">
        <v>59</v>
      </c>
    </row>
    <row r="711" spans="1:25" hidden="1" x14ac:dyDescent="0.3">
      <c r="A711">
        <v>418</v>
      </c>
      <c r="B711" t="s">
        <v>720</v>
      </c>
      <c r="C711" t="s">
        <v>47</v>
      </c>
      <c r="D711" t="s">
        <v>303</v>
      </c>
      <c r="E711" t="s">
        <v>28</v>
      </c>
      <c r="F711" t="s">
        <v>36</v>
      </c>
      <c r="G711" t="s">
        <v>30</v>
      </c>
      <c r="H711" t="s">
        <v>153</v>
      </c>
      <c r="I711">
        <v>100</v>
      </c>
      <c r="J711" t="s">
        <v>721</v>
      </c>
      <c r="K711" t="s">
        <v>186</v>
      </c>
      <c r="L711" t="s">
        <v>728</v>
      </c>
      <c r="M711" t="s">
        <v>729</v>
      </c>
      <c r="N711" s="3">
        <v>100</v>
      </c>
      <c r="O711" s="3">
        <v>101.1</v>
      </c>
      <c r="P711" s="3">
        <v>133.33000000000001</v>
      </c>
      <c r="Q711" s="3">
        <v>422.83</v>
      </c>
      <c r="R711" s="3">
        <v>100</v>
      </c>
      <c r="S711" s="3">
        <v>108.24</v>
      </c>
      <c r="T711" s="3">
        <v>109.87</v>
      </c>
      <c r="U711" s="3"/>
      <c r="V711" s="3">
        <v>99.78</v>
      </c>
      <c r="W711" s="3">
        <v>103.69</v>
      </c>
      <c r="X711" s="3">
        <v>91.04</v>
      </c>
      <c r="Y711" s="3" t="s">
        <v>59</v>
      </c>
    </row>
    <row r="712" spans="1:25" hidden="1" x14ac:dyDescent="0.3">
      <c r="A712">
        <v>418</v>
      </c>
      <c r="B712" t="s">
        <v>720</v>
      </c>
      <c r="C712" t="s">
        <v>47</v>
      </c>
      <c r="D712" t="s">
        <v>303</v>
      </c>
      <c r="E712" t="s">
        <v>28</v>
      </c>
      <c r="F712" t="s">
        <v>36</v>
      </c>
      <c r="G712" t="s">
        <v>30</v>
      </c>
      <c r="H712" t="s">
        <v>153</v>
      </c>
      <c r="I712">
        <v>100</v>
      </c>
      <c r="J712" t="s">
        <v>721</v>
      </c>
      <c r="K712" t="s">
        <v>186</v>
      </c>
      <c r="L712" t="s">
        <v>730</v>
      </c>
      <c r="M712" t="s">
        <v>731</v>
      </c>
      <c r="N712" s="3" t="s">
        <v>59</v>
      </c>
      <c r="O712" s="3" t="s">
        <v>59</v>
      </c>
      <c r="P712" s="3" t="s">
        <v>59</v>
      </c>
      <c r="Q712" s="3">
        <v>118.07</v>
      </c>
      <c r="R712" s="3">
        <v>100</v>
      </c>
      <c r="S712" s="3">
        <v>103.16</v>
      </c>
      <c r="T712" s="3">
        <v>86.42</v>
      </c>
      <c r="U712" s="3">
        <v>64.959999999999994</v>
      </c>
      <c r="V712" s="3">
        <v>100</v>
      </c>
      <c r="W712" s="3">
        <v>102.1</v>
      </c>
      <c r="X712" s="3">
        <v>125</v>
      </c>
      <c r="Y712" s="3" t="s">
        <v>59</v>
      </c>
    </row>
    <row r="713" spans="1:25" hidden="1" x14ac:dyDescent="0.3">
      <c r="A713">
        <v>418</v>
      </c>
      <c r="B713" t="s">
        <v>720</v>
      </c>
      <c r="C713" t="s">
        <v>47</v>
      </c>
      <c r="D713" t="s">
        <v>303</v>
      </c>
      <c r="E713" t="s">
        <v>28</v>
      </c>
      <c r="F713" t="s">
        <v>36</v>
      </c>
      <c r="G713" t="s">
        <v>30</v>
      </c>
      <c r="H713" t="s">
        <v>153</v>
      </c>
      <c r="I713">
        <v>100</v>
      </c>
      <c r="J713" t="s">
        <v>721</v>
      </c>
      <c r="K713" t="s">
        <v>186</v>
      </c>
      <c r="L713" t="s">
        <v>732</v>
      </c>
      <c r="M713" t="s">
        <v>733</v>
      </c>
      <c r="N713" s="3">
        <v>100</v>
      </c>
      <c r="O713" s="3">
        <v>81.52</v>
      </c>
      <c r="P713" s="3">
        <v>100</v>
      </c>
      <c r="Q713" s="3">
        <v>28.01</v>
      </c>
      <c r="R713" s="3">
        <v>100</v>
      </c>
      <c r="S713" s="3">
        <v>109.76</v>
      </c>
      <c r="T713" s="3">
        <v>83.04</v>
      </c>
      <c r="U713" s="3">
        <v>69.12</v>
      </c>
      <c r="V713" s="3">
        <v>100</v>
      </c>
      <c r="W713" s="3">
        <v>91.79</v>
      </c>
      <c r="X713" s="3">
        <v>117.86</v>
      </c>
      <c r="Y713" s="3" t="s">
        <v>59</v>
      </c>
    </row>
    <row r="714" spans="1:25" hidden="1" x14ac:dyDescent="0.3">
      <c r="A714">
        <v>418</v>
      </c>
      <c r="B714" t="s">
        <v>720</v>
      </c>
      <c r="C714" t="s">
        <v>47</v>
      </c>
      <c r="D714" t="s">
        <v>303</v>
      </c>
      <c r="E714" t="s">
        <v>28</v>
      </c>
      <c r="F714" t="s">
        <v>36</v>
      </c>
      <c r="G714" t="s">
        <v>30</v>
      </c>
      <c r="H714" t="s">
        <v>153</v>
      </c>
      <c r="I714">
        <v>100</v>
      </c>
      <c r="J714" t="s">
        <v>721</v>
      </c>
      <c r="K714" t="s">
        <v>186</v>
      </c>
      <c r="L714" t="s">
        <v>734</v>
      </c>
      <c r="M714" t="s">
        <v>735</v>
      </c>
      <c r="N714" s="3">
        <v>100</v>
      </c>
      <c r="O714" s="3">
        <v>90.72</v>
      </c>
      <c r="P714" s="3">
        <v>98.61</v>
      </c>
      <c r="Q714" s="3">
        <v>129.41</v>
      </c>
      <c r="R714" s="3">
        <v>100</v>
      </c>
      <c r="S714" s="3">
        <v>93.68</v>
      </c>
      <c r="T714" s="3">
        <v>106</v>
      </c>
      <c r="U714" s="3">
        <v>242.61</v>
      </c>
      <c r="V714" s="3">
        <v>100</v>
      </c>
      <c r="W714" s="3">
        <v>94.64</v>
      </c>
      <c r="X714" s="3">
        <v>113.11</v>
      </c>
      <c r="Y714" s="3" t="s">
        <v>59</v>
      </c>
    </row>
    <row r="715" spans="1:25" hidden="1" x14ac:dyDescent="0.3">
      <c r="A715">
        <v>418</v>
      </c>
      <c r="B715" t="s">
        <v>720</v>
      </c>
      <c r="C715" t="s">
        <v>47</v>
      </c>
      <c r="D715" t="s">
        <v>303</v>
      </c>
      <c r="E715" t="s">
        <v>28</v>
      </c>
      <c r="F715" t="s">
        <v>36</v>
      </c>
      <c r="G715" t="s">
        <v>30</v>
      </c>
      <c r="H715" t="s">
        <v>153</v>
      </c>
      <c r="I715">
        <v>100</v>
      </c>
      <c r="J715" t="s">
        <v>721</v>
      </c>
      <c r="K715" t="s">
        <v>186</v>
      </c>
      <c r="L715" t="s">
        <v>736</v>
      </c>
      <c r="M715" t="s">
        <v>737</v>
      </c>
      <c r="N715" s="3">
        <v>100</v>
      </c>
      <c r="O715" s="3">
        <v>96.84</v>
      </c>
      <c r="P715" s="3">
        <v>95.89</v>
      </c>
      <c r="Q715" s="3">
        <v>35.14</v>
      </c>
      <c r="R715" s="3">
        <v>100</v>
      </c>
      <c r="S715" s="3">
        <v>93.26</v>
      </c>
      <c r="T715" s="3">
        <v>109.46</v>
      </c>
      <c r="U715" s="3">
        <v>147.63999999999999</v>
      </c>
      <c r="V715" s="3">
        <v>97.74</v>
      </c>
      <c r="W715" s="3">
        <v>88.32</v>
      </c>
      <c r="X715" s="3">
        <v>103.13</v>
      </c>
      <c r="Y715" s="3" t="s">
        <v>59</v>
      </c>
    </row>
    <row r="716" spans="1:25" hidden="1" x14ac:dyDescent="0.3">
      <c r="A716">
        <v>418</v>
      </c>
      <c r="B716" t="s">
        <v>720</v>
      </c>
      <c r="C716" t="s">
        <v>47</v>
      </c>
      <c r="D716" t="s">
        <v>303</v>
      </c>
      <c r="E716" t="s">
        <v>28</v>
      </c>
      <c r="F716" t="s">
        <v>36</v>
      </c>
      <c r="G716" t="s">
        <v>30</v>
      </c>
      <c r="H716" t="s">
        <v>153</v>
      </c>
      <c r="I716">
        <v>100</v>
      </c>
      <c r="J716" t="s">
        <v>721</v>
      </c>
      <c r="K716" t="s">
        <v>186</v>
      </c>
      <c r="L716" t="s">
        <v>632</v>
      </c>
      <c r="M716" t="s">
        <v>633</v>
      </c>
      <c r="N716" s="3">
        <v>100</v>
      </c>
      <c r="O716" s="3">
        <v>101.03</v>
      </c>
      <c r="P716" s="3">
        <v>113.16</v>
      </c>
      <c r="Q716" s="3">
        <v>136.88</v>
      </c>
      <c r="R716" s="3">
        <v>100</v>
      </c>
      <c r="S716" s="3">
        <v>112.5</v>
      </c>
      <c r="T716" s="3">
        <v>101.96</v>
      </c>
      <c r="U716" s="3">
        <v>71.58</v>
      </c>
      <c r="V716" s="3">
        <v>100</v>
      </c>
      <c r="W716" s="3">
        <v>84.87</v>
      </c>
      <c r="X716" s="3">
        <v>118.31</v>
      </c>
      <c r="Y716" s="3" t="s">
        <v>59</v>
      </c>
    </row>
    <row r="717" spans="1:25" hidden="1" x14ac:dyDescent="0.3">
      <c r="A717" s="1">
        <v>420</v>
      </c>
      <c r="B717" s="1" t="s">
        <v>738</v>
      </c>
      <c r="C717" s="1" t="s">
        <v>47</v>
      </c>
      <c r="D717" s="1" t="s">
        <v>303</v>
      </c>
      <c r="E717" s="1" t="s">
        <v>28</v>
      </c>
      <c r="F717" s="1" t="s">
        <v>36</v>
      </c>
      <c r="G717" s="1" t="s">
        <v>30</v>
      </c>
      <c r="H717" s="1" t="s">
        <v>153</v>
      </c>
      <c r="I717" s="1">
        <v>100</v>
      </c>
      <c r="J717" s="1" t="s">
        <v>739</v>
      </c>
      <c r="K717" s="1" t="s">
        <v>186</v>
      </c>
      <c r="L717" s="1" t="s">
        <v>34</v>
      </c>
      <c r="M717" s="1" t="s">
        <v>34</v>
      </c>
      <c r="N717" s="4">
        <v>100</v>
      </c>
      <c r="O717" s="4">
        <v>100.3</v>
      </c>
      <c r="P717" s="5">
        <v>108.52</v>
      </c>
      <c r="Q717" s="5">
        <v>122.2</v>
      </c>
      <c r="R717" s="6">
        <v>96.67</v>
      </c>
      <c r="S717" s="5">
        <v>102.36</v>
      </c>
      <c r="T717" s="6">
        <v>89.33</v>
      </c>
      <c r="U717" s="3" t="s">
        <v>59</v>
      </c>
      <c r="V717" s="4">
        <v>100</v>
      </c>
      <c r="W717" s="6">
        <v>94.69</v>
      </c>
      <c r="X717" s="5">
        <v>106.53</v>
      </c>
      <c r="Y717" s="3">
        <v>0</v>
      </c>
    </row>
    <row r="718" spans="1:25" hidden="1" x14ac:dyDescent="0.3">
      <c r="A718">
        <v>420</v>
      </c>
      <c r="B718" t="s">
        <v>738</v>
      </c>
      <c r="C718" t="s">
        <v>47</v>
      </c>
      <c r="D718" t="s">
        <v>303</v>
      </c>
      <c r="E718" t="s">
        <v>28</v>
      </c>
      <c r="F718" t="s">
        <v>36</v>
      </c>
      <c r="G718" t="s">
        <v>30</v>
      </c>
      <c r="H718" t="s">
        <v>153</v>
      </c>
      <c r="I718">
        <v>100</v>
      </c>
      <c r="J718" t="s">
        <v>739</v>
      </c>
      <c r="K718" t="s">
        <v>186</v>
      </c>
      <c r="L718" t="s">
        <v>740</v>
      </c>
      <c r="M718" t="s">
        <v>741</v>
      </c>
      <c r="N718" s="3">
        <v>100</v>
      </c>
      <c r="O718" s="3">
        <v>96</v>
      </c>
      <c r="P718" s="3">
        <v>93.1</v>
      </c>
      <c r="Q718" s="3">
        <v>129.66</v>
      </c>
      <c r="R718" s="3">
        <v>100</v>
      </c>
      <c r="S718" s="3">
        <v>101.04</v>
      </c>
      <c r="T718" s="3">
        <v>97</v>
      </c>
      <c r="U718" s="3" t="s">
        <v>59</v>
      </c>
      <c r="V718" s="3">
        <v>100</v>
      </c>
      <c r="W718" s="3">
        <v>93.41</v>
      </c>
      <c r="X718" s="3">
        <v>93.44</v>
      </c>
      <c r="Y718" s="3" t="s">
        <v>59</v>
      </c>
    </row>
    <row r="719" spans="1:25" hidden="1" x14ac:dyDescent="0.3">
      <c r="A719">
        <v>420</v>
      </c>
      <c r="B719" t="s">
        <v>738</v>
      </c>
      <c r="C719" t="s">
        <v>47</v>
      </c>
      <c r="D719" t="s">
        <v>303</v>
      </c>
      <c r="E719" t="s">
        <v>28</v>
      </c>
      <c r="F719" t="s">
        <v>36</v>
      </c>
      <c r="G719" t="s">
        <v>30</v>
      </c>
      <c r="H719" t="s">
        <v>153</v>
      </c>
      <c r="I719">
        <v>100</v>
      </c>
      <c r="J719" t="s">
        <v>739</v>
      </c>
      <c r="K719" t="s">
        <v>186</v>
      </c>
      <c r="L719" t="s">
        <v>742</v>
      </c>
      <c r="M719" t="s">
        <v>743</v>
      </c>
      <c r="N719" s="3">
        <v>100</v>
      </c>
      <c r="O719" s="3">
        <v>127.27</v>
      </c>
      <c r="P719" s="3">
        <v>134.78</v>
      </c>
      <c r="Q719" s="3">
        <v>122.04</v>
      </c>
      <c r="R719" s="3">
        <v>100</v>
      </c>
      <c r="S719" s="3">
        <v>172.41</v>
      </c>
      <c r="T719" s="3">
        <v>111.44</v>
      </c>
      <c r="U719" s="3" t="s">
        <v>59</v>
      </c>
      <c r="V719" s="3">
        <v>100</v>
      </c>
      <c r="W719" s="3">
        <v>88.27</v>
      </c>
      <c r="X719" s="3">
        <v>169.49</v>
      </c>
      <c r="Y719" s="3" t="s">
        <v>59</v>
      </c>
    </row>
    <row r="720" spans="1:25" hidden="1" x14ac:dyDescent="0.3">
      <c r="A720">
        <v>420</v>
      </c>
      <c r="B720" t="s">
        <v>738</v>
      </c>
      <c r="C720" t="s">
        <v>47</v>
      </c>
      <c r="D720" t="s">
        <v>303</v>
      </c>
      <c r="E720" t="s">
        <v>28</v>
      </c>
      <c r="F720" t="s">
        <v>36</v>
      </c>
      <c r="G720" t="s">
        <v>30</v>
      </c>
      <c r="H720" t="s">
        <v>153</v>
      </c>
      <c r="I720">
        <v>100</v>
      </c>
      <c r="J720" t="s">
        <v>739</v>
      </c>
      <c r="K720" t="s">
        <v>186</v>
      </c>
      <c r="L720" t="s">
        <v>403</v>
      </c>
      <c r="M720" t="s">
        <v>404</v>
      </c>
      <c r="N720" s="3">
        <v>100</v>
      </c>
      <c r="O720" s="3">
        <v>97.83</v>
      </c>
      <c r="P720" s="3">
        <v>114.29</v>
      </c>
      <c r="Q720" s="3">
        <v>142.22</v>
      </c>
      <c r="R720" s="3">
        <v>100</v>
      </c>
      <c r="S720" s="3">
        <v>91.67</v>
      </c>
      <c r="T720" s="3">
        <v>103.47</v>
      </c>
      <c r="U720" s="3" t="s">
        <v>59</v>
      </c>
      <c r="V720" s="3">
        <v>100</v>
      </c>
      <c r="W720" s="3">
        <v>99.83</v>
      </c>
      <c r="X720" s="3">
        <v>114.87</v>
      </c>
      <c r="Y720" s="3" t="s">
        <v>59</v>
      </c>
    </row>
    <row r="721" spans="1:25" hidden="1" x14ac:dyDescent="0.3">
      <c r="A721">
        <v>420</v>
      </c>
      <c r="B721" t="s">
        <v>738</v>
      </c>
      <c r="C721" t="s">
        <v>47</v>
      </c>
      <c r="D721" t="s">
        <v>303</v>
      </c>
      <c r="E721" t="s">
        <v>28</v>
      </c>
      <c r="F721" t="s">
        <v>36</v>
      </c>
      <c r="G721" t="s">
        <v>30</v>
      </c>
      <c r="H721" t="s">
        <v>153</v>
      </c>
      <c r="I721">
        <v>100</v>
      </c>
      <c r="J721" t="s">
        <v>739</v>
      </c>
      <c r="K721" t="s">
        <v>186</v>
      </c>
      <c r="L721" t="s">
        <v>744</v>
      </c>
      <c r="M721" t="s">
        <v>745</v>
      </c>
      <c r="N721" s="3">
        <v>100</v>
      </c>
      <c r="O721" s="3">
        <v>84.88</v>
      </c>
      <c r="P721" s="3">
        <v>107.69</v>
      </c>
      <c r="Q721" s="3">
        <v>113.76</v>
      </c>
      <c r="R721" s="3">
        <v>80</v>
      </c>
      <c r="S721" s="3">
        <v>84.27</v>
      </c>
      <c r="T721" s="3">
        <v>77.989999999999995</v>
      </c>
      <c r="U721" s="3" t="s">
        <v>59</v>
      </c>
      <c r="V721" s="3">
        <v>100</v>
      </c>
      <c r="W721" s="3">
        <v>100</v>
      </c>
      <c r="X721" s="3">
        <v>82.52</v>
      </c>
      <c r="Y721" s="3" t="s">
        <v>59</v>
      </c>
    </row>
    <row r="722" spans="1:25" hidden="1" x14ac:dyDescent="0.3">
      <c r="A722">
        <v>420</v>
      </c>
      <c r="B722" t="s">
        <v>738</v>
      </c>
      <c r="C722" t="s">
        <v>47</v>
      </c>
      <c r="D722" t="s">
        <v>303</v>
      </c>
      <c r="E722" t="s">
        <v>28</v>
      </c>
      <c r="F722" t="s">
        <v>36</v>
      </c>
      <c r="G722" t="s">
        <v>30</v>
      </c>
      <c r="H722" t="s">
        <v>153</v>
      </c>
      <c r="I722">
        <v>100</v>
      </c>
      <c r="J722" t="s">
        <v>739</v>
      </c>
      <c r="K722" t="s">
        <v>186</v>
      </c>
      <c r="L722" t="s">
        <v>746</v>
      </c>
      <c r="M722" t="s">
        <v>747</v>
      </c>
      <c r="N722" s="3">
        <v>100</v>
      </c>
      <c r="O722" s="3">
        <v>95.79</v>
      </c>
      <c r="P722" s="3">
        <v>99.52</v>
      </c>
      <c r="Q722" s="3">
        <v>111.35</v>
      </c>
      <c r="R722" s="3">
        <v>100</v>
      </c>
      <c r="S722" s="3">
        <v>109.84</v>
      </c>
      <c r="T722" s="3">
        <v>92.4</v>
      </c>
      <c r="U722" s="3" t="s">
        <v>59</v>
      </c>
      <c r="V722" s="3">
        <v>100</v>
      </c>
      <c r="W722" s="3">
        <v>91.43</v>
      </c>
      <c r="X722" s="3">
        <v>104.52</v>
      </c>
      <c r="Y722" s="3" t="s">
        <v>59</v>
      </c>
    </row>
    <row r="723" spans="1:25" hidden="1" x14ac:dyDescent="0.3">
      <c r="A723">
        <v>420</v>
      </c>
      <c r="B723" t="s">
        <v>738</v>
      </c>
      <c r="C723" t="s">
        <v>47</v>
      </c>
      <c r="D723" t="s">
        <v>303</v>
      </c>
      <c r="E723" t="s">
        <v>28</v>
      </c>
      <c r="F723" t="s">
        <v>36</v>
      </c>
      <c r="G723" t="s">
        <v>30</v>
      </c>
      <c r="H723" t="s">
        <v>153</v>
      </c>
      <c r="I723">
        <v>100</v>
      </c>
      <c r="J723" t="s">
        <v>739</v>
      </c>
      <c r="K723" t="s">
        <v>186</v>
      </c>
      <c r="L723" t="s">
        <v>748</v>
      </c>
      <c r="M723" t="s">
        <v>749</v>
      </c>
      <c r="N723" s="3">
        <v>100</v>
      </c>
      <c r="O723" s="3">
        <v>100</v>
      </c>
      <c r="P723" s="3">
        <v>101.75</v>
      </c>
      <c r="Q723" s="3">
        <v>114.16</v>
      </c>
      <c r="R723" s="3">
        <v>100</v>
      </c>
      <c r="S723" s="3">
        <v>105.26</v>
      </c>
      <c r="T723" s="3">
        <v>55.95</v>
      </c>
      <c r="U723" s="3" t="s">
        <v>59</v>
      </c>
      <c r="V723" s="3" t="s">
        <v>59</v>
      </c>
      <c r="W723" s="3" t="s">
        <v>59</v>
      </c>
      <c r="X723" s="3" t="s">
        <v>59</v>
      </c>
      <c r="Y723" s="3" t="s">
        <v>59</v>
      </c>
    </row>
    <row r="724" spans="1:25" hidden="1" x14ac:dyDescent="0.3">
      <c r="A724" s="1">
        <v>431</v>
      </c>
      <c r="B724" s="1" t="s">
        <v>775</v>
      </c>
      <c r="C724" s="1" t="s">
        <v>26</v>
      </c>
      <c r="D724" s="1" t="s">
        <v>52</v>
      </c>
      <c r="E724" s="1" t="s">
        <v>28</v>
      </c>
      <c r="F724" s="1" t="s">
        <v>36</v>
      </c>
      <c r="G724" s="1" t="s">
        <v>30</v>
      </c>
      <c r="H724" s="1" t="s">
        <v>31</v>
      </c>
      <c r="I724" s="1">
        <v>100</v>
      </c>
      <c r="J724" s="1" t="s">
        <v>776</v>
      </c>
      <c r="K724" s="1" t="s">
        <v>33</v>
      </c>
      <c r="L724" s="1" t="s">
        <v>33</v>
      </c>
      <c r="M724" s="1" t="s">
        <v>34</v>
      </c>
      <c r="N724" s="4">
        <v>100</v>
      </c>
      <c r="O724" s="4">
        <v>100</v>
      </c>
      <c r="P724" s="4">
        <v>100</v>
      </c>
      <c r="Q724" s="4">
        <v>100</v>
      </c>
      <c r="R724" s="4">
        <v>100</v>
      </c>
      <c r="S724" s="4">
        <v>100</v>
      </c>
      <c r="T724" s="4">
        <v>100</v>
      </c>
      <c r="U724" s="4">
        <v>100</v>
      </c>
      <c r="V724" s="4">
        <v>100</v>
      </c>
      <c r="W724" s="4">
        <v>100</v>
      </c>
      <c r="X724" s="3"/>
      <c r="Y724" s="3"/>
    </row>
    <row r="725" spans="1:25" hidden="1" x14ac:dyDescent="0.3">
      <c r="A725" s="1">
        <v>432</v>
      </c>
      <c r="B725" s="1" t="s">
        <v>777</v>
      </c>
      <c r="C725" s="1" t="s">
        <v>26</v>
      </c>
      <c r="D725" s="1" t="s">
        <v>52</v>
      </c>
      <c r="E725" s="1" t="s">
        <v>28</v>
      </c>
      <c r="F725" s="1" t="s">
        <v>36</v>
      </c>
      <c r="G725" s="1" t="s">
        <v>30</v>
      </c>
      <c r="H725" s="1" t="s">
        <v>153</v>
      </c>
      <c r="I725" s="1">
        <v>90</v>
      </c>
      <c r="J725" s="1" t="s">
        <v>778</v>
      </c>
      <c r="K725" s="1" t="s">
        <v>186</v>
      </c>
      <c r="L725" s="1" t="s">
        <v>34</v>
      </c>
      <c r="M725" s="1" t="s">
        <v>34</v>
      </c>
      <c r="N725" s="5">
        <v>100</v>
      </c>
      <c r="O725" s="5">
        <v>100</v>
      </c>
      <c r="P725" s="5">
        <v>100</v>
      </c>
      <c r="Q725" s="5">
        <v>100</v>
      </c>
      <c r="R725" s="5">
        <v>100</v>
      </c>
      <c r="S725" s="7">
        <v>0</v>
      </c>
      <c r="T725" s="5">
        <v>100</v>
      </c>
      <c r="U725" s="5">
        <v>100</v>
      </c>
      <c r="V725" s="5">
        <v>98.765555555556006</v>
      </c>
      <c r="W725" s="5">
        <v>100</v>
      </c>
      <c r="X725" s="3" t="s">
        <v>59</v>
      </c>
      <c r="Y725" s="3" t="s">
        <v>59</v>
      </c>
    </row>
    <row r="726" spans="1:25" hidden="1" x14ac:dyDescent="0.3">
      <c r="A726">
        <v>432</v>
      </c>
      <c r="B726" t="s">
        <v>777</v>
      </c>
      <c r="C726" t="s">
        <v>26</v>
      </c>
      <c r="D726" t="s">
        <v>52</v>
      </c>
      <c r="E726" t="s">
        <v>28</v>
      </c>
      <c r="F726" t="s">
        <v>36</v>
      </c>
      <c r="G726" t="s">
        <v>30</v>
      </c>
      <c r="H726" t="s">
        <v>153</v>
      </c>
      <c r="I726">
        <v>90</v>
      </c>
      <c r="J726" t="s">
        <v>778</v>
      </c>
      <c r="K726" t="s">
        <v>186</v>
      </c>
      <c r="L726" t="s">
        <v>779</v>
      </c>
      <c r="M726" t="s">
        <v>780</v>
      </c>
      <c r="N726" s="3">
        <v>100</v>
      </c>
      <c r="O726" s="3">
        <v>100</v>
      </c>
      <c r="P726" s="3">
        <v>100</v>
      </c>
      <c r="Q726" s="3">
        <v>100</v>
      </c>
      <c r="R726" s="3">
        <v>100</v>
      </c>
      <c r="S726" s="3" t="s">
        <v>59</v>
      </c>
      <c r="T726" s="3">
        <v>100</v>
      </c>
      <c r="U726" s="3">
        <v>100</v>
      </c>
      <c r="V726" s="3">
        <v>100</v>
      </c>
      <c r="W726" s="3">
        <v>100</v>
      </c>
      <c r="X726" s="3" t="s">
        <v>59</v>
      </c>
      <c r="Y726" s="3" t="s">
        <v>59</v>
      </c>
    </row>
    <row r="727" spans="1:25" hidden="1" x14ac:dyDescent="0.3">
      <c r="A727">
        <v>432</v>
      </c>
      <c r="B727" t="s">
        <v>777</v>
      </c>
      <c r="C727" t="s">
        <v>26</v>
      </c>
      <c r="D727" t="s">
        <v>52</v>
      </c>
      <c r="E727" t="s">
        <v>28</v>
      </c>
      <c r="F727" t="s">
        <v>36</v>
      </c>
      <c r="G727" t="s">
        <v>30</v>
      </c>
      <c r="H727" t="s">
        <v>153</v>
      </c>
      <c r="I727">
        <v>90</v>
      </c>
      <c r="J727" t="s">
        <v>778</v>
      </c>
      <c r="K727" t="s">
        <v>186</v>
      </c>
      <c r="L727" t="s">
        <v>781</v>
      </c>
      <c r="M727" t="s">
        <v>782</v>
      </c>
      <c r="N727" s="3">
        <v>100</v>
      </c>
      <c r="O727" s="3">
        <v>100</v>
      </c>
      <c r="P727" s="3">
        <v>100</v>
      </c>
      <c r="Q727" s="3">
        <v>100</v>
      </c>
      <c r="R727" s="3">
        <v>100</v>
      </c>
      <c r="S727" s="3" t="s">
        <v>59</v>
      </c>
      <c r="T727" s="3">
        <v>100</v>
      </c>
      <c r="U727" s="3">
        <v>100</v>
      </c>
      <c r="V727" s="3">
        <v>88.89</v>
      </c>
      <c r="W727" s="3">
        <v>100</v>
      </c>
      <c r="X727" s="3" t="s">
        <v>59</v>
      </c>
      <c r="Y727" s="3" t="s">
        <v>59</v>
      </c>
    </row>
    <row r="728" spans="1:25" hidden="1" x14ac:dyDescent="0.3">
      <c r="A728">
        <v>432</v>
      </c>
      <c r="B728" t="s">
        <v>777</v>
      </c>
      <c r="C728" t="s">
        <v>26</v>
      </c>
      <c r="D728" t="s">
        <v>52</v>
      </c>
      <c r="E728" t="s">
        <v>28</v>
      </c>
      <c r="F728" t="s">
        <v>36</v>
      </c>
      <c r="G728" t="s">
        <v>30</v>
      </c>
      <c r="H728" t="s">
        <v>153</v>
      </c>
      <c r="I728">
        <v>90</v>
      </c>
      <c r="J728" t="s">
        <v>778</v>
      </c>
      <c r="K728" t="s">
        <v>186</v>
      </c>
      <c r="L728" t="s">
        <v>783</v>
      </c>
      <c r="M728" t="s">
        <v>784</v>
      </c>
      <c r="N728" s="3">
        <v>100</v>
      </c>
      <c r="O728" s="3">
        <v>100</v>
      </c>
      <c r="P728" s="3">
        <v>100</v>
      </c>
      <c r="Q728" s="3">
        <v>100</v>
      </c>
      <c r="R728" s="3">
        <v>100</v>
      </c>
      <c r="S728" s="3" t="s">
        <v>59</v>
      </c>
      <c r="T728" s="3">
        <v>100</v>
      </c>
      <c r="U728" s="3">
        <v>100</v>
      </c>
      <c r="V728" s="3">
        <v>100</v>
      </c>
      <c r="W728" s="3">
        <v>100</v>
      </c>
      <c r="X728" s="3" t="s">
        <v>59</v>
      </c>
      <c r="Y728" s="3" t="s">
        <v>59</v>
      </c>
    </row>
    <row r="729" spans="1:25" hidden="1" x14ac:dyDescent="0.3">
      <c r="A729">
        <v>432</v>
      </c>
      <c r="B729" t="s">
        <v>777</v>
      </c>
      <c r="C729" t="s">
        <v>26</v>
      </c>
      <c r="D729" t="s">
        <v>52</v>
      </c>
      <c r="E729" t="s">
        <v>28</v>
      </c>
      <c r="F729" t="s">
        <v>36</v>
      </c>
      <c r="G729" t="s">
        <v>30</v>
      </c>
      <c r="H729" t="s">
        <v>153</v>
      </c>
      <c r="I729">
        <v>90</v>
      </c>
      <c r="J729" t="s">
        <v>778</v>
      </c>
      <c r="K729" t="s">
        <v>186</v>
      </c>
      <c r="L729" t="s">
        <v>785</v>
      </c>
      <c r="M729" t="s">
        <v>786</v>
      </c>
      <c r="N729" s="3">
        <v>100</v>
      </c>
      <c r="O729" s="3">
        <v>100</v>
      </c>
      <c r="P729" s="3">
        <v>100</v>
      </c>
      <c r="Q729" s="3">
        <v>100</v>
      </c>
      <c r="R729" s="3">
        <v>100</v>
      </c>
      <c r="S729" s="3" t="s">
        <v>59</v>
      </c>
      <c r="T729" s="3">
        <v>100</v>
      </c>
      <c r="U729" s="3">
        <v>100</v>
      </c>
      <c r="V729" s="3">
        <v>100</v>
      </c>
      <c r="W729" s="3" t="s">
        <v>59</v>
      </c>
      <c r="X729" s="3" t="s">
        <v>59</v>
      </c>
      <c r="Y729" s="3" t="s">
        <v>59</v>
      </c>
    </row>
    <row r="730" spans="1:25" hidden="1" x14ac:dyDescent="0.3">
      <c r="A730">
        <v>432</v>
      </c>
      <c r="B730" t="s">
        <v>777</v>
      </c>
      <c r="C730" t="s">
        <v>26</v>
      </c>
      <c r="D730" t="s">
        <v>52</v>
      </c>
      <c r="E730" t="s">
        <v>28</v>
      </c>
      <c r="F730" t="s">
        <v>36</v>
      </c>
      <c r="G730" t="s">
        <v>30</v>
      </c>
      <c r="H730" t="s">
        <v>153</v>
      </c>
      <c r="I730">
        <v>90</v>
      </c>
      <c r="J730" t="s">
        <v>778</v>
      </c>
      <c r="K730" t="s">
        <v>186</v>
      </c>
      <c r="L730" t="s">
        <v>787</v>
      </c>
      <c r="M730" t="s">
        <v>788</v>
      </c>
      <c r="N730" s="3">
        <v>100</v>
      </c>
      <c r="O730" s="3">
        <v>100</v>
      </c>
      <c r="P730" s="3">
        <v>100</v>
      </c>
      <c r="Q730" s="3">
        <v>100</v>
      </c>
      <c r="R730" s="3">
        <v>100</v>
      </c>
      <c r="S730" s="3" t="s">
        <v>59</v>
      </c>
      <c r="T730" s="3">
        <v>100</v>
      </c>
      <c r="U730" s="3">
        <v>100</v>
      </c>
      <c r="V730" s="3">
        <v>100</v>
      </c>
      <c r="W730" s="3">
        <v>100</v>
      </c>
      <c r="X730" s="3" t="s">
        <v>59</v>
      </c>
      <c r="Y730" s="3" t="s">
        <v>59</v>
      </c>
    </row>
    <row r="731" spans="1:25" hidden="1" x14ac:dyDescent="0.3">
      <c r="A731">
        <v>432</v>
      </c>
      <c r="B731" t="s">
        <v>777</v>
      </c>
      <c r="C731" t="s">
        <v>26</v>
      </c>
      <c r="D731" t="s">
        <v>52</v>
      </c>
      <c r="E731" t="s">
        <v>28</v>
      </c>
      <c r="F731" t="s">
        <v>36</v>
      </c>
      <c r="G731" t="s">
        <v>30</v>
      </c>
      <c r="H731" t="s">
        <v>153</v>
      </c>
      <c r="I731">
        <v>90</v>
      </c>
      <c r="J731" t="s">
        <v>778</v>
      </c>
      <c r="K731" t="s">
        <v>186</v>
      </c>
      <c r="L731" t="s">
        <v>789</v>
      </c>
      <c r="M731" t="s">
        <v>790</v>
      </c>
      <c r="N731" s="3">
        <v>100</v>
      </c>
      <c r="O731" s="3">
        <v>100</v>
      </c>
      <c r="P731" s="3">
        <v>100</v>
      </c>
      <c r="Q731" s="3">
        <v>100</v>
      </c>
      <c r="R731" s="3">
        <v>100</v>
      </c>
      <c r="S731" s="3" t="s">
        <v>59</v>
      </c>
      <c r="T731" s="3">
        <v>100</v>
      </c>
      <c r="U731" s="3">
        <v>100</v>
      </c>
      <c r="V731" s="3">
        <v>100</v>
      </c>
      <c r="W731" s="3">
        <v>100</v>
      </c>
      <c r="X731" s="3" t="s">
        <v>59</v>
      </c>
      <c r="Y731" s="3" t="s">
        <v>59</v>
      </c>
    </row>
    <row r="732" spans="1:25" hidden="1" x14ac:dyDescent="0.3">
      <c r="A732">
        <v>432</v>
      </c>
      <c r="B732" t="s">
        <v>777</v>
      </c>
      <c r="C732" t="s">
        <v>26</v>
      </c>
      <c r="D732" t="s">
        <v>52</v>
      </c>
      <c r="E732" t="s">
        <v>28</v>
      </c>
      <c r="F732" t="s">
        <v>36</v>
      </c>
      <c r="G732" t="s">
        <v>30</v>
      </c>
      <c r="H732" t="s">
        <v>153</v>
      </c>
      <c r="I732">
        <v>90</v>
      </c>
      <c r="J732" t="s">
        <v>778</v>
      </c>
      <c r="K732" t="s">
        <v>186</v>
      </c>
      <c r="L732" t="s">
        <v>791</v>
      </c>
      <c r="M732" t="s">
        <v>792</v>
      </c>
      <c r="N732" s="3">
        <v>100</v>
      </c>
      <c r="O732" s="3">
        <v>100</v>
      </c>
      <c r="P732" s="3">
        <v>100</v>
      </c>
      <c r="Q732" s="3">
        <v>100</v>
      </c>
      <c r="R732" s="3">
        <v>100</v>
      </c>
      <c r="S732" s="3" t="s">
        <v>59</v>
      </c>
      <c r="T732" s="3">
        <v>100</v>
      </c>
      <c r="U732" s="3">
        <v>100</v>
      </c>
      <c r="V732" s="3">
        <v>100</v>
      </c>
      <c r="W732" s="3">
        <v>100</v>
      </c>
      <c r="X732" s="3" t="s">
        <v>59</v>
      </c>
      <c r="Y732" s="3" t="s">
        <v>59</v>
      </c>
    </row>
    <row r="733" spans="1:25" hidden="1" x14ac:dyDescent="0.3">
      <c r="A733">
        <v>432</v>
      </c>
      <c r="B733" t="s">
        <v>777</v>
      </c>
      <c r="C733" t="s">
        <v>26</v>
      </c>
      <c r="D733" t="s">
        <v>52</v>
      </c>
      <c r="E733" t="s">
        <v>28</v>
      </c>
      <c r="F733" t="s">
        <v>36</v>
      </c>
      <c r="G733" t="s">
        <v>30</v>
      </c>
      <c r="H733" t="s">
        <v>153</v>
      </c>
      <c r="I733">
        <v>90</v>
      </c>
      <c r="J733" t="s">
        <v>778</v>
      </c>
      <c r="K733" t="s">
        <v>186</v>
      </c>
      <c r="L733" t="s">
        <v>793</v>
      </c>
      <c r="M733" t="s">
        <v>794</v>
      </c>
      <c r="N733" s="3">
        <v>100</v>
      </c>
      <c r="O733" s="3">
        <v>100</v>
      </c>
      <c r="P733" s="3">
        <v>100</v>
      </c>
      <c r="Q733" s="3">
        <v>100</v>
      </c>
      <c r="R733" s="3">
        <v>100</v>
      </c>
      <c r="S733" s="3" t="s">
        <v>59</v>
      </c>
      <c r="T733" s="3">
        <v>100</v>
      </c>
      <c r="U733" s="3">
        <v>100</v>
      </c>
      <c r="V733" s="3">
        <v>100</v>
      </c>
      <c r="W733" s="3">
        <v>100</v>
      </c>
      <c r="X733" s="3" t="s">
        <v>59</v>
      </c>
      <c r="Y733" s="3" t="s">
        <v>59</v>
      </c>
    </row>
    <row r="734" spans="1:25" hidden="1" x14ac:dyDescent="0.3">
      <c r="A734">
        <v>432</v>
      </c>
      <c r="B734" t="s">
        <v>777</v>
      </c>
      <c r="C734" t="s">
        <v>26</v>
      </c>
      <c r="D734" t="s">
        <v>52</v>
      </c>
      <c r="E734" t="s">
        <v>28</v>
      </c>
      <c r="F734" t="s">
        <v>36</v>
      </c>
      <c r="G734" t="s">
        <v>30</v>
      </c>
      <c r="H734" t="s">
        <v>153</v>
      </c>
      <c r="I734">
        <v>90</v>
      </c>
      <c r="J734" t="s">
        <v>778</v>
      </c>
      <c r="K734" t="s">
        <v>186</v>
      </c>
      <c r="L734" t="s">
        <v>795</v>
      </c>
      <c r="M734" t="s">
        <v>796</v>
      </c>
      <c r="N734" s="3">
        <v>100</v>
      </c>
      <c r="O734" s="3">
        <v>100</v>
      </c>
      <c r="P734" s="3">
        <v>100</v>
      </c>
      <c r="Q734" s="3">
        <v>100</v>
      </c>
      <c r="R734" s="3">
        <v>100</v>
      </c>
      <c r="S734" s="3" t="s">
        <v>59</v>
      </c>
      <c r="T734" s="3">
        <v>100</v>
      </c>
      <c r="U734" s="3">
        <v>100</v>
      </c>
      <c r="V734" s="3">
        <v>100</v>
      </c>
      <c r="W734" s="3">
        <v>100</v>
      </c>
      <c r="X734" s="3" t="s">
        <v>59</v>
      </c>
      <c r="Y734" s="3" t="s">
        <v>59</v>
      </c>
    </row>
    <row r="735" spans="1:25" hidden="1" x14ac:dyDescent="0.3">
      <c r="A735" s="1">
        <v>453</v>
      </c>
      <c r="B735" s="1" t="s">
        <v>827</v>
      </c>
      <c r="C735" s="1" t="s">
        <v>26</v>
      </c>
      <c r="D735" s="1" t="s">
        <v>610</v>
      </c>
      <c r="E735" s="1" t="s">
        <v>28</v>
      </c>
      <c r="F735" s="1" t="s">
        <v>36</v>
      </c>
      <c r="G735" s="1" t="s">
        <v>30</v>
      </c>
      <c r="H735" s="1" t="s">
        <v>31</v>
      </c>
      <c r="I735" s="1">
        <v>100</v>
      </c>
      <c r="J735" s="1" t="s">
        <v>828</v>
      </c>
      <c r="K735" s="1" t="s">
        <v>33</v>
      </c>
      <c r="L735" s="1" t="s">
        <v>33</v>
      </c>
      <c r="M735" s="1" t="s">
        <v>34</v>
      </c>
      <c r="N735" s="4">
        <v>100</v>
      </c>
      <c r="O735" s="4">
        <v>100</v>
      </c>
      <c r="P735" s="4">
        <v>100</v>
      </c>
      <c r="Q735" s="7">
        <v>48</v>
      </c>
      <c r="R735" s="5">
        <v>148</v>
      </c>
      <c r="S735" s="5">
        <v>300</v>
      </c>
      <c r="T735" s="5">
        <v>140</v>
      </c>
      <c r="U735" s="9">
        <v>52</v>
      </c>
      <c r="V735" s="3"/>
      <c r="W735" s="3"/>
      <c r="X735" s="3"/>
      <c r="Y735" s="3"/>
    </row>
    <row r="736" spans="1:25" hidden="1" x14ac:dyDescent="0.3">
      <c r="A736" s="1">
        <v>455</v>
      </c>
      <c r="B736" s="1" t="s">
        <v>829</v>
      </c>
      <c r="C736" s="1" t="s">
        <v>47</v>
      </c>
      <c r="D736" s="1" t="s">
        <v>610</v>
      </c>
      <c r="E736" s="1" t="s">
        <v>28</v>
      </c>
      <c r="F736" s="1" t="s">
        <v>36</v>
      </c>
      <c r="G736" s="1" t="s">
        <v>30</v>
      </c>
      <c r="H736" s="1" t="s">
        <v>31</v>
      </c>
      <c r="I736" s="1">
        <v>100</v>
      </c>
      <c r="J736" s="1" t="s">
        <v>830</v>
      </c>
      <c r="K736" s="1" t="s">
        <v>33</v>
      </c>
      <c r="L736" s="1" t="s">
        <v>33</v>
      </c>
      <c r="M736" s="1" t="s">
        <v>34</v>
      </c>
      <c r="N736" s="4">
        <v>100</v>
      </c>
      <c r="O736" s="4">
        <v>100</v>
      </c>
      <c r="P736" s="4">
        <v>100</v>
      </c>
      <c r="Q736" s="4">
        <v>100</v>
      </c>
      <c r="R736" s="4">
        <v>100</v>
      </c>
      <c r="S736" s="4">
        <v>100</v>
      </c>
      <c r="T736" s="3"/>
      <c r="U736" s="3"/>
      <c r="V736" s="3"/>
      <c r="W736" s="3"/>
      <c r="X736" s="3"/>
      <c r="Y736" s="3"/>
    </row>
    <row r="737" spans="1:25" hidden="1" x14ac:dyDescent="0.3">
      <c r="A737" s="1">
        <v>456</v>
      </c>
      <c r="B737" s="1" t="s">
        <v>831</v>
      </c>
      <c r="C737" s="1" t="s">
        <v>26</v>
      </c>
      <c r="D737" s="1" t="s">
        <v>83</v>
      </c>
      <c r="E737" s="1" t="s">
        <v>44</v>
      </c>
      <c r="F737" s="1" t="s">
        <v>36</v>
      </c>
      <c r="G737" s="1" t="s">
        <v>30</v>
      </c>
      <c r="H737" s="1" t="s">
        <v>153</v>
      </c>
      <c r="I737" s="1">
        <v>100</v>
      </c>
      <c r="J737" s="1" t="s">
        <v>832</v>
      </c>
      <c r="K737" s="1" t="s">
        <v>207</v>
      </c>
      <c r="L737" s="1" t="s">
        <v>34</v>
      </c>
      <c r="M737" s="1" t="s">
        <v>34</v>
      </c>
      <c r="N737" s="3"/>
      <c r="O737" s="3"/>
      <c r="P737" s="4">
        <v>104.12</v>
      </c>
      <c r="Q737" s="5">
        <v>106.25</v>
      </c>
      <c r="R737" s="6">
        <v>94.69</v>
      </c>
      <c r="S737" s="3" t="s">
        <v>59</v>
      </c>
      <c r="T737" s="4">
        <v>100</v>
      </c>
      <c r="U737" s="3"/>
      <c r="V737" s="3" t="s">
        <v>59</v>
      </c>
      <c r="W737" s="3" t="s">
        <v>59</v>
      </c>
      <c r="X737" s="3" t="s">
        <v>59</v>
      </c>
      <c r="Y737" s="3" t="s">
        <v>59</v>
      </c>
    </row>
    <row r="738" spans="1:25" hidden="1" x14ac:dyDescent="0.3">
      <c r="A738">
        <v>456</v>
      </c>
      <c r="B738" t="s">
        <v>831</v>
      </c>
      <c r="C738" t="s">
        <v>26</v>
      </c>
      <c r="D738" t="s">
        <v>83</v>
      </c>
      <c r="E738" t="s">
        <v>44</v>
      </c>
      <c r="F738" t="s">
        <v>36</v>
      </c>
      <c r="G738" t="s">
        <v>30</v>
      </c>
      <c r="H738" t="s">
        <v>153</v>
      </c>
      <c r="I738">
        <v>100</v>
      </c>
      <c r="J738" t="s">
        <v>832</v>
      </c>
      <c r="K738" t="s">
        <v>207</v>
      </c>
      <c r="L738" t="s">
        <v>534</v>
      </c>
      <c r="M738" t="s">
        <v>535</v>
      </c>
      <c r="N738" s="3" t="s">
        <v>59</v>
      </c>
      <c r="O738" s="3" t="s">
        <v>59</v>
      </c>
      <c r="P738" s="3">
        <v>110</v>
      </c>
      <c r="Q738" s="3">
        <v>105.71</v>
      </c>
      <c r="R738" s="3">
        <v>95.45</v>
      </c>
      <c r="S738" s="3" t="s">
        <v>59</v>
      </c>
      <c r="T738" s="3">
        <v>101.52</v>
      </c>
      <c r="U738" s="3" t="s">
        <v>59</v>
      </c>
      <c r="V738" s="3" t="s">
        <v>59</v>
      </c>
      <c r="W738" s="3" t="s">
        <v>59</v>
      </c>
      <c r="X738" s="3" t="s">
        <v>59</v>
      </c>
      <c r="Y738" s="3" t="s">
        <v>59</v>
      </c>
    </row>
    <row r="739" spans="1:25" hidden="1" x14ac:dyDescent="0.3">
      <c r="A739">
        <v>456</v>
      </c>
      <c r="B739" t="s">
        <v>831</v>
      </c>
      <c r="C739" t="s">
        <v>26</v>
      </c>
      <c r="D739" t="s">
        <v>83</v>
      </c>
      <c r="E739" t="s">
        <v>44</v>
      </c>
      <c r="F739" t="s">
        <v>36</v>
      </c>
      <c r="G739" t="s">
        <v>30</v>
      </c>
      <c r="H739" t="s">
        <v>153</v>
      </c>
      <c r="I739">
        <v>100</v>
      </c>
      <c r="J739" t="s">
        <v>832</v>
      </c>
      <c r="K739" t="s">
        <v>207</v>
      </c>
      <c r="L739" t="s">
        <v>366</v>
      </c>
      <c r="M739" t="s">
        <v>367</v>
      </c>
      <c r="N739" s="3" t="s">
        <v>59</v>
      </c>
      <c r="O739" s="3" t="s">
        <v>59</v>
      </c>
      <c r="P739" s="3">
        <v>93.33</v>
      </c>
      <c r="Q739" s="3">
        <v>110</v>
      </c>
      <c r="R739" s="3">
        <v>94.74</v>
      </c>
      <c r="S739" s="3" t="s">
        <v>59</v>
      </c>
      <c r="T739" s="3">
        <v>100</v>
      </c>
      <c r="U739" s="3" t="s">
        <v>59</v>
      </c>
      <c r="V739" s="3" t="s">
        <v>59</v>
      </c>
      <c r="W739" s="3" t="s">
        <v>59</v>
      </c>
      <c r="X739" s="3" t="s">
        <v>59</v>
      </c>
      <c r="Y739" s="3" t="s">
        <v>59</v>
      </c>
    </row>
    <row r="740" spans="1:25" hidden="1" x14ac:dyDescent="0.3">
      <c r="A740">
        <v>456</v>
      </c>
      <c r="B740" t="s">
        <v>831</v>
      </c>
      <c r="C740" t="s">
        <v>26</v>
      </c>
      <c r="D740" t="s">
        <v>83</v>
      </c>
      <c r="E740" t="s">
        <v>44</v>
      </c>
      <c r="F740" t="s">
        <v>36</v>
      </c>
      <c r="G740" t="s">
        <v>30</v>
      </c>
      <c r="H740" t="s">
        <v>153</v>
      </c>
      <c r="I740">
        <v>100</v>
      </c>
      <c r="J740" t="s">
        <v>832</v>
      </c>
      <c r="K740" t="s">
        <v>207</v>
      </c>
      <c r="L740" t="s">
        <v>833</v>
      </c>
      <c r="M740" t="s">
        <v>834</v>
      </c>
      <c r="N740" s="3" t="s">
        <v>59</v>
      </c>
      <c r="O740" s="3" t="s">
        <v>59</v>
      </c>
      <c r="P740" s="3">
        <v>95.45</v>
      </c>
      <c r="Q740" s="3">
        <v>104.55</v>
      </c>
      <c r="R740" s="3">
        <v>92.86</v>
      </c>
      <c r="S740" s="3" t="s">
        <v>59</v>
      </c>
      <c r="T740" s="3">
        <v>96.43</v>
      </c>
      <c r="U740" s="3" t="s">
        <v>59</v>
      </c>
      <c r="V740" s="3" t="s">
        <v>59</v>
      </c>
      <c r="W740" s="3" t="s">
        <v>59</v>
      </c>
      <c r="X740" s="3" t="s">
        <v>59</v>
      </c>
      <c r="Y740" s="3" t="s">
        <v>59</v>
      </c>
    </row>
    <row r="741" spans="1:25" hidden="1" x14ac:dyDescent="0.3">
      <c r="A741" s="1">
        <v>457</v>
      </c>
      <c r="B741" s="1" t="s">
        <v>835</v>
      </c>
      <c r="C741" s="1" t="s">
        <v>26</v>
      </c>
      <c r="D741" s="1" t="s">
        <v>83</v>
      </c>
      <c r="E741" s="1" t="s">
        <v>28</v>
      </c>
      <c r="F741" s="1" t="s">
        <v>36</v>
      </c>
      <c r="G741" s="1" t="s">
        <v>30</v>
      </c>
      <c r="H741" s="1" t="s">
        <v>153</v>
      </c>
      <c r="I741" s="1">
        <v>100</v>
      </c>
      <c r="J741" s="1" t="s">
        <v>836</v>
      </c>
      <c r="K741" s="1" t="s">
        <v>207</v>
      </c>
      <c r="L741" s="1" t="s">
        <v>34</v>
      </c>
      <c r="M741" s="1" t="s">
        <v>34</v>
      </c>
      <c r="N741" s="3"/>
      <c r="O741" s="3"/>
      <c r="P741" s="6">
        <v>83.33</v>
      </c>
      <c r="Q741" s="5">
        <v>200</v>
      </c>
      <c r="R741" s="7">
        <v>70</v>
      </c>
      <c r="S741" s="3" t="s">
        <v>59</v>
      </c>
      <c r="T741" s="6">
        <v>90</v>
      </c>
      <c r="U741" s="3"/>
      <c r="V741" s="3" t="s">
        <v>59</v>
      </c>
      <c r="W741" s="3" t="s">
        <v>59</v>
      </c>
      <c r="X741" s="3" t="s">
        <v>59</v>
      </c>
      <c r="Y741" s="3" t="s">
        <v>59</v>
      </c>
    </row>
    <row r="742" spans="1:25" hidden="1" x14ac:dyDescent="0.3">
      <c r="A742">
        <v>457</v>
      </c>
      <c r="B742" t="s">
        <v>835</v>
      </c>
      <c r="C742" t="s">
        <v>26</v>
      </c>
      <c r="D742" t="s">
        <v>83</v>
      </c>
      <c r="E742" t="s">
        <v>28</v>
      </c>
      <c r="F742" t="s">
        <v>36</v>
      </c>
      <c r="G742" t="s">
        <v>30</v>
      </c>
      <c r="H742" t="s">
        <v>153</v>
      </c>
      <c r="I742">
        <v>100</v>
      </c>
      <c r="J742" t="s">
        <v>836</v>
      </c>
      <c r="K742" t="s">
        <v>207</v>
      </c>
      <c r="L742" t="s">
        <v>534</v>
      </c>
      <c r="M742" t="s">
        <v>535</v>
      </c>
      <c r="N742" s="3" t="s">
        <v>59</v>
      </c>
      <c r="O742" s="3" t="s">
        <v>59</v>
      </c>
      <c r="P742" s="3">
        <v>100</v>
      </c>
      <c r="Q742" s="3">
        <v>300</v>
      </c>
      <c r="R742" s="3">
        <v>150</v>
      </c>
      <c r="S742" s="3" t="s">
        <v>59</v>
      </c>
      <c r="T742" s="3">
        <v>100</v>
      </c>
      <c r="U742" s="3" t="s">
        <v>59</v>
      </c>
      <c r="V742" s="3" t="s">
        <v>59</v>
      </c>
      <c r="W742" s="3" t="s">
        <v>59</v>
      </c>
      <c r="X742" s="3" t="s">
        <v>59</v>
      </c>
      <c r="Y742" s="3" t="s">
        <v>59</v>
      </c>
    </row>
    <row r="743" spans="1:25" hidden="1" x14ac:dyDescent="0.3">
      <c r="A743">
        <v>457</v>
      </c>
      <c r="B743" t="s">
        <v>835</v>
      </c>
      <c r="C743" t="s">
        <v>26</v>
      </c>
      <c r="D743" t="s">
        <v>83</v>
      </c>
      <c r="E743" t="s">
        <v>28</v>
      </c>
      <c r="F743" t="s">
        <v>36</v>
      </c>
      <c r="G743" t="s">
        <v>30</v>
      </c>
      <c r="H743" t="s">
        <v>153</v>
      </c>
      <c r="I743">
        <v>100</v>
      </c>
      <c r="J743" t="s">
        <v>836</v>
      </c>
      <c r="K743" t="s">
        <v>207</v>
      </c>
      <c r="L743" t="s">
        <v>366</v>
      </c>
      <c r="M743" t="s">
        <v>367</v>
      </c>
      <c r="N743" s="3" t="s">
        <v>59</v>
      </c>
      <c r="O743" s="3" t="s">
        <v>59</v>
      </c>
      <c r="P743" s="3">
        <v>100</v>
      </c>
      <c r="Q743" s="3">
        <v>200</v>
      </c>
      <c r="R743" s="3">
        <v>75</v>
      </c>
      <c r="S743" s="3" t="s">
        <v>59</v>
      </c>
      <c r="T743" s="3">
        <v>100</v>
      </c>
      <c r="U743" s="3" t="s">
        <v>59</v>
      </c>
      <c r="V743" s="3" t="s">
        <v>59</v>
      </c>
      <c r="W743" s="3" t="s">
        <v>59</v>
      </c>
      <c r="X743" s="3" t="s">
        <v>59</v>
      </c>
      <c r="Y743" s="3" t="s">
        <v>59</v>
      </c>
    </row>
    <row r="744" spans="1:25" hidden="1" x14ac:dyDescent="0.3">
      <c r="A744">
        <v>457</v>
      </c>
      <c r="B744" t="s">
        <v>835</v>
      </c>
      <c r="C744" t="s">
        <v>26</v>
      </c>
      <c r="D744" t="s">
        <v>83</v>
      </c>
      <c r="E744" t="s">
        <v>28</v>
      </c>
      <c r="F744" t="s">
        <v>36</v>
      </c>
      <c r="G744" t="s">
        <v>30</v>
      </c>
      <c r="H744" t="s">
        <v>153</v>
      </c>
      <c r="I744">
        <v>100</v>
      </c>
      <c r="J744" t="s">
        <v>836</v>
      </c>
      <c r="K744" t="s">
        <v>207</v>
      </c>
      <c r="L744" t="s">
        <v>833</v>
      </c>
      <c r="M744" t="s">
        <v>834</v>
      </c>
      <c r="N744" s="3" t="s">
        <v>59</v>
      </c>
      <c r="O744" s="3" t="s">
        <v>59</v>
      </c>
      <c r="P744" s="3">
        <v>50</v>
      </c>
      <c r="Q744" s="3">
        <v>100</v>
      </c>
      <c r="R744" s="3">
        <v>25</v>
      </c>
      <c r="S744" s="3" t="s">
        <v>59</v>
      </c>
      <c r="T744" s="3">
        <v>75</v>
      </c>
      <c r="U744" s="3" t="s">
        <v>59</v>
      </c>
      <c r="V744" s="3" t="s">
        <v>59</v>
      </c>
      <c r="W744" s="3" t="s">
        <v>59</v>
      </c>
      <c r="X744" s="3" t="s">
        <v>59</v>
      </c>
      <c r="Y744" s="3" t="s">
        <v>59</v>
      </c>
    </row>
    <row r="745" spans="1:25" hidden="1" x14ac:dyDescent="0.3">
      <c r="A745" s="1">
        <v>469</v>
      </c>
      <c r="B745" s="1" t="s">
        <v>845</v>
      </c>
      <c r="C745" s="1" t="s">
        <v>47</v>
      </c>
      <c r="D745" s="1" t="s">
        <v>303</v>
      </c>
      <c r="E745" s="1" t="s">
        <v>28</v>
      </c>
      <c r="F745" s="1" t="s">
        <v>36</v>
      </c>
      <c r="G745" s="1" t="s">
        <v>30</v>
      </c>
      <c r="H745" s="1" t="s">
        <v>153</v>
      </c>
      <c r="I745" s="1">
        <v>100</v>
      </c>
      <c r="J745" s="1" t="s">
        <v>846</v>
      </c>
      <c r="K745" s="1" t="s">
        <v>186</v>
      </c>
      <c r="L745" s="1" t="s">
        <v>34</v>
      </c>
      <c r="M745" s="1" t="s">
        <v>34</v>
      </c>
      <c r="N745" s="6">
        <v>99.13</v>
      </c>
      <c r="O745" s="6">
        <v>92.65</v>
      </c>
      <c r="P745" s="4">
        <v>103.52</v>
      </c>
      <c r="Q745" s="5">
        <v>118.03</v>
      </c>
      <c r="R745" s="6">
        <v>99.7</v>
      </c>
      <c r="S745" s="6">
        <v>94.86</v>
      </c>
      <c r="T745" s="5">
        <v>114.33</v>
      </c>
      <c r="U745" s="5">
        <v>195.07</v>
      </c>
      <c r="V745" s="3" t="s">
        <v>59</v>
      </c>
      <c r="W745" s="3" t="s">
        <v>59</v>
      </c>
      <c r="X745" s="3"/>
      <c r="Y745" s="3" t="s">
        <v>59</v>
      </c>
    </row>
    <row r="746" spans="1:25" hidden="1" x14ac:dyDescent="0.3">
      <c r="A746">
        <v>469</v>
      </c>
      <c r="B746" t="s">
        <v>845</v>
      </c>
      <c r="C746" t="s">
        <v>47</v>
      </c>
      <c r="D746" t="s">
        <v>303</v>
      </c>
      <c r="E746" t="s">
        <v>28</v>
      </c>
      <c r="F746" t="s">
        <v>36</v>
      </c>
      <c r="G746" t="s">
        <v>30</v>
      </c>
      <c r="H746" t="s">
        <v>153</v>
      </c>
      <c r="I746">
        <v>100</v>
      </c>
      <c r="J746" t="s">
        <v>846</v>
      </c>
      <c r="K746" t="s">
        <v>186</v>
      </c>
      <c r="L746" t="s">
        <v>847</v>
      </c>
      <c r="M746" t="s">
        <v>848</v>
      </c>
      <c r="N746" s="3" t="s">
        <v>59</v>
      </c>
      <c r="O746" s="3" t="s">
        <v>59</v>
      </c>
      <c r="P746" s="3" t="s">
        <v>59</v>
      </c>
      <c r="Q746" s="3" t="s">
        <v>59</v>
      </c>
      <c r="R746" s="3">
        <v>100</v>
      </c>
      <c r="S746" s="3">
        <v>100</v>
      </c>
      <c r="T746" s="3">
        <v>100</v>
      </c>
      <c r="U746" s="3">
        <v>116.28</v>
      </c>
      <c r="V746" s="3" t="s">
        <v>59</v>
      </c>
      <c r="W746" s="3" t="s">
        <v>59</v>
      </c>
      <c r="X746" s="3" t="s">
        <v>59</v>
      </c>
      <c r="Y746" s="3" t="s">
        <v>59</v>
      </c>
    </row>
    <row r="747" spans="1:25" hidden="1" x14ac:dyDescent="0.3">
      <c r="A747">
        <v>469</v>
      </c>
      <c r="B747" t="s">
        <v>845</v>
      </c>
      <c r="C747" t="s">
        <v>47</v>
      </c>
      <c r="D747" t="s">
        <v>303</v>
      </c>
      <c r="E747" t="s">
        <v>28</v>
      </c>
      <c r="F747" t="s">
        <v>36</v>
      </c>
      <c r="G747" t="s">
        <v>30</v>
      </c>
      <c r="H747" t="s">
        <v>153</v>
      </c>
      <c r="I747">
        <v>100</v>
      </c>
      <c r="J747" t="s">
        <v>846</v>
      </c>
      <c r="K747" t="s">
        <v>186</v>
      </c>
      <c r="L747" t="s">
        <v>849</v>
      </c>
      <c r="M747" t="s">
        <v>850</v>
      </c>
      <c r="N747" s="3">
        <v>100</v>
      </c>
      <c r="O747" s="3">
        <v>100</v>
      </c>
      <c r="P747" s="3">
        <v>114.81</v>
      </c>
      <c r="Q747" s="3">
        <v>132.08000000000001</v>
      </c>
      <c r="R747" s="3">
        <v>100</v>
      </c>
      <c r="S747" s="3">
        <v>90</v>
      </c>
      <c r="T747" s="3">
        <v>91.21</v>
      </c>
      <c r="U747" s="3">
        <v>24.51</v>
      </c>
      <c r="V747" s="3" t="s">
        <v>59</v>
      </c>
      <c r="W747" s="3" t="s">
        <v>59</v>
      </c>
      <c r="X747" s="3" t="s">
        <v>59</v>
      </c>
      <c r="Y747" s="3" t="s">
        <v>59</v>
      </c>
    </row>
    <row r="748" spans="1:25" hidden="1" x14ac:dyDescent="0.3">
      <c r="A748">
        <v>469</v>
      </c>
      <c r="B748" t="s">
        <v>845</v>
      </c>
      <c r="C748" t="s">
        <v>47</v>
      </c>
      <c r="D748" t="s">
        <v>303</v>
      </c>
      <c r="E748" t="s">
        <v>28</v>
      </c>
      <c r="F748" t="s">
        <v>36</v>
      </c>
      <c r="G748" t="s">
        <v>30</v>
      </c>
      <c r="H748" t="s">
        <v>153</v>
      </c>
      <c r="I748">
        <v>100</v>
      </c>
      <c r="J748" t="s">
        <v>846</v>
      </c>
      <c r="K748" t="s">
        <v>186</v>
      </c>
      <c r="L748" t="s">
        <v>851</v>
      </c>
      <c r="M748" t="s">
        <v>852</v>
      </c>
      <c r="N748" s="3" t="s">
        <v>59</v>
      </c>
      <c r="O748" s="3" t="s">
        <v>59</v>
      </c>
      <c r="P748" s="3">
        <v>96</v>
      </c>
      <c r="Q748" s="3">
        <v>119.12</v>
      </c>
      <c r="R748" s="3">
        <v>100</v>
      </c>
      <c r="S748" s="3">
        <v>101.3</v>
      </c>
      <c r="T748" s="3">
        <v>109.16</v>
      </c>
      <c r="U748" s="3">
        <v>183.93</v>
      </c>
      <c r="V748" s="3" t="s">
        <v>59</v>
      </c>
      <c r="W748" s="3" t="s">
        <v>59</v>
      </c>
      <c r="X748" s="3" t="s">
        <v>59</v>
      </c>
      <c r="Y748" s="3" t="s">
        <v>59</v>
      </c>
    </row>
    <row r="749" spans="1:25" hidden="1" x14ac:dyDescent="0.3">
      <c r="A749">
        <v>469</v>
      </c>
      <c r="B749" t="s">
        <v>845</v>
      </c>
      <c r="C749" t="s">
        <v>47</v>
      </c>
      <c r="D749" t="s">
        <v>303</v>
      </c>
      <c r="E749" t="s">
        <v>28</v>
      </c>
      <c r="F749" t="s">
        <v>36</v>
      </c>
      <c r="G749" t="s">
        <v>30</v>
      </c>
      <c r="H749" t="s">
        <v>153</v>
      </c>
      <c r="I749">
        <v>100</v>
      </c>
      <c r="J749" t="s">
        <v>846</v>
      </c>
      <c r="K749" t="s">
        <v>186</v>
      </c>
      <c r="L749" t="s">
        <v>853</v>
      </c>
      <c r="M749" t="s">
        <v>854</v>
      </c>
      <c r="N749" s="3">
        <v>100</v>
      </c>
      <c r="O749" s="3">
        <v>96.39</v>
      </c>
      <c r="P749" s="3">
        <v>113.04</v>
      </c>
      <c r="Q749" s="3">
        <v>186.49</v>
      </c>
      <c r="R749" s="3">
        <v>100</v>
      </c>
      <c r="S749" s="3">
        <v>105.26</v>
      </c>
      <c r="T749" s="3">
        <v>135.94</v>
      </c>
      <c r="U749" s="3">
        <v>331.36</v>
      </c>
      <c r="V749" s="3" t="s">
        <v>59</v>
      </c>
      <c r="W749" s="3" t="s">
        <v>59</v>
      </c>
      <c r="X749" s="3" t="s">
        <v>59</v>
      </c>
      <c r="Y749" s="3" t="s">
        <v>59</v>
      </c>
    </row>
    <row r="750" spans="1:25" hidden="1" x14ac:dyDescent="0.3">
      <c r="A750">
        <v>469</v>
      </c>
      <c r="B750" t="s">
        <v>845</v>
      </c>
      <c r="C750" t="s">
        <v>47</v>
      </c>
      <c r="D750" t="s">
        <v>303</v>
      </c>
      <c r="E750" t="s">
        <v>28</v>
      </c>
      <c r="F750" t="s">
        <v>36</v>
      </c>
      <c r="G750" t="s">
        <v>30</v>
      </c>
      <c r="H750" t="s">
        <v>153</v>
      </c>
      <c r="I750">
        <v>100</v>
      </c>
      <c r="J750" t="s">
        <v>846</v>
      </c>
      <c r="K750" t="s">
        <v>186</v>
      </c>
      <c r="L750" t="s">
        <v>855</v>
      </c>
      <c r="M750" t="s">
        <v>856</v>
      </c>
      <c r="N750" s="3">
        <v>100</v>
      </c>
      <c r="O750" s="3">
        <v>100</v>
      </c>
      <c r="P750" s="3">
        <v>96.15</v>
      </c>
      <c r="Q750" s="3">
        <v>86.63</v>
      </c>
      <c r="R750" s="3">
        <v>100</v>
      </c>
      <c r="S750" s="3">
        <v>103.85</v>
      </c>
      <c r="T750" s="3">
        <v>112</v>
      </c>
      <c r="U750" s="3">
        <v>219.74</v>
      </c>
      <c r="V750" s="3" t="s">
        <v>59</v>
      </c>
      <c r="W750" s="3" t="s">
        <v>59</v>
      </c>
      <c r="X750" s="3" t="s">
        <v>59</v>
      </c>
      <c r="Y750" s="3" t="s">
        <v>59</v>
      </c>
    </row>
    <row r="751" spans="1:25" hidden="1" x14ac:dyDescent="0.3">
      <c r="A751">
        <v>469</v>
      </c>
      <c r="B751" t="s">
        <v>845</v>
      </c>
      <c r="C751" t="s">
        <v>47</v>
      </c>
      <c r="D751" t="s">
        <v>303</v>
      </c>
      <c r="E751" t="s">
        <v>28</v>
      </c>
      <c r="F751" t="s">
        <v>36</v>
      </c>
      <c r="G751" t="s">
        <v>30</v>
      </c>
      <c r="H751" t="s">
        <v>153</v>
      </c>
      <c r="I751">
        <v>100</v>
      </c>
      <c r="J751" t="s">
        <v>846</v>
      </c>
      <c r="K751" t="s">
        <v>186</v>
      </c>
      <c r="L751" t="s">
        <v>857</v>
      </c>
      <c r="M751" t="s">
        <v>858</v>
      </c>
      <c r="N751" s="3">
        <v>100</v>
      </c>
      <c r="O751" s="3">
        <v>107.69</v>
      </c>
      <c r="P751" s="3">
        <v>122.95</v>
      </c>
      <c r="Q751" s="3">
        <v>149.85</v>
      </c>
      <c r="R751" s="3">
        <v>100</v>
      </c>
      <c r="S751" s="3">
        <v>95.45</v>
      </c>
      <c r="T751" s="3">
        <v>126.5</v>
      </c>
      <c r="U751" s="3">
        <v>167.13</v>
      </c>
      <c r="V751" s="3" t="s">
        <v>59</v>
      </c>
      <c r="W751" s="3" t="s">
        <v>59</v>
      </c>
      <c r="X751" s="3" t="s">
        <v>59</v>
      </c>
      <c r="Y751" s="3" t="s">
        <v>59</v>
      </c>
    </row>
    <row r="752" spans="1:25" hidden="1" x14ac:dyDescent="0.3">
      <c r="A752">
        <v>469</v>
      </c>
      <c r="B752" t="s">
        <v>845</v>
      </c>
      <c r="C752" t="s">
        <v>47</v>
      </c>
      <c r="D752" t="s">
        <v>303</v>
      </c>
      <c r="E752" t="s">
        <v>28</v>
      </c>
      <c r="F752" t="s">
        <v>36</v>
      </c>
      <c r="G752" t="s">
        <v>30</v>
      </c>
      <c r="H752" t="s">
        <v>153</v>
      </c>
      <c r="I752">
        <v>100</v>
      </c>
      <c r="J752" t="s">
        <v>846</v>
      </c>
      <c r="K752" t="s">
        <v>186</v>
      </c>
      <c r="L752" t="s">
        <v>859</v>
      </c>
      <c r="M752" t="s">
        <v>860</v>
      </c>
      <c r="N752" s="3">
        <v>100</v>
      </c>
      <c r="O752" s="3">
        <v>100</v>
      </c>
      <c r="P752" s="3">
        <v>132.65</v>
      </c>
      <c r="Q752" s="3">
        <v>149.16999999999999</v>
      </c>
      <c r="R752" s="3">
        <v>100</v>
      </c>
      <c r="S752" s="3">
        <v>94.38</v>
      </c>
      <c r="T752" s="3">
        <v>125.14</v>
      </c>
      <c r="U752" s="3">
        <v>74.52</v>
      </c>
      <c r="V752" s="3" t="s">
        <v>59</v>
      </c>
      <c r="W752" s="3" t="s">
        <v>59</v>
      </c>
      <c r="X752" s="3" t="s">
        <v>59</v>
      </c>
      <c r="Y752" s="3" t="s">
        <v>59</v>
      </c>
    </row>
    <row r="753" spans="1:25" hidden="1" x14ac:dyDescent="0.3">
      <c r="A753">
        <v>469</v>
      </c>
      <c r="B753" t="s">
        <v>845</v>
      </c>
      <c r="C753" t="s">
        <v>47</v>
      </c>
      <c r="D753" t="s">
        <v>303</v>
      </c>
      <c r="E753" t="s">
        <v>28</v>
      </c>
      <c r="F753" t="s">
        <v>36</v>
      </c>
      <c r="G753" t="s">
        <v>30</v>
      </c>
      <c r="H753" t="s">
        <v>153</v>
      </c>
      <c r="I753">
        <v>100</v>
      </c>
      <c r="J753" t="s">
        <v>846</v>
      </c>
      <c r="K753" t="s">
        <v>186</v>
      </c>
      <c r="L753" t="s">
        <v>861</v>
      </c>
      <c r="M753" t="s">
        <v>862</v>
      </c>
      <c r="N753" s="3">
        <v>100</v>
      </c>
      <c r="O753" s="3">
        <v>87.64</v>
      </c>
      <c r="P753" s="3">
        <v>81.13</v>
      </c>
      <c r="Q753" s="3">
        <v>114.94</v>
      </c>
      <c r="R753" s="3">
        <v>97</v>
      </c>
      <c r="S753" s="3">
        <v>90</v>
      </c>
      <c r="T753" s="3">
        <v>99.09</v>
      </c>
      <c r="U753" s="3">
        <v>161.86000000000001</v>
      </c>
      <c r="V753" s="3" t="s">
        <v>59</v>
      </c>
      <c r="W753" s="3" t="s">
        <v>59</v>
      </c>
      <c r="X753" s="3" t="s">
        <v>59</v>
      </c>
      <c r="Y753" s="3" t="s">
        <v>59</v>
      </c>
    </row>
    <row r="754" spans="1:25" hidden="1" x14ac:dyDescent="0.3">
      <c r="A754">
        <v>469</v>
      </c>
      <c r="B754" t="s">
        <v>845</v>
      </c>
      <c r="C754" t="s">
        <v>47</v>
      </c>
      <c r="D754" t="s">
        <v>303</v>
      </c>
      <c r="E754" t="s">
        <v>28</v>
      </c>
      <c r="F754" t="s">
        <v>36</v>
      </c>
      <c r="G754" t="s">
        <v>30</v>
      </c>
      <c r="H754" t="s">
        <v>153</v>
      </c>
      <c r="I754">
        <v>100</v>
      </c>
      <c r="J754" t="s">
        <v>846</v>
      </c>
      <c r="K754" t="s">
        <v>186</v>
      </c>
      <c r="L754" t="s">
        <v>863</v>
      </c>
      <c r="M754" t="s">
        <v>864</v>
      </c>
      <c r="N754" s="3">
        <v>93</v>
      </c>
      <c r="O754" s="3">
        <v>65.22</v>
      </c>
      <c r="P754" s="3">
        <v>82.35</v>
      </c>
      <c r="Q754" s="3">
        <v>93.99</v>
      </c>
      <c r="R754" s="3">
        <v>100</v>
      </c>
      <c r="S754" s="3">
        <v>76.67</v>
      </c>
      <c r="T754" s="3">
        <v>99.67</v>
      </c>
      <c r="U754" s="3">
        <v>136.08000000000001</v>
      </c>
      <c r="V754" s="3" t="s">
        <v>59</v>
      </c>
      <c r="W754" s="3" t="s">
        <v>59</v>
      </c>
      <c r="X754" s="3" t="s">
        <v>59</v>
      </c>
      <c r="Y754" s="3" t="s">
        <v>59</v>
      </c>
    </row>
    <row r="755" spans="1:25" hidden="1" x14ac:dyDescent="0.3">
      <c r="A755">
        <v>469</v>
      </c>
      <c r="B755" t="s">
        <v>845</v>
      </c>
      <c r="C755" t="s">
        <v>47</v>
      </c>
      <c r="D755" t="s">
        <v>303</v>
      </c>
      <c r="E755" t="s">
        <v>28</v>
      </c>
      <c r="F755" t="s">
        <v>36</v>
      </c>
      <c r="G755" t="s">
        <v>30</v>
      </c>
      <c r="H755" t="s">
        <v>153</v>
      </c>
      <c r="I755">
        <v>100</v>
      </c>
      <c r="J755" t="s">
        <v>846</v>
      </c>
      <c r="K755" t="s">
        <v>186</v>
      </c>
      <c r="L755" t="s">
        <v>865</v>
      </c>
      <c r="M755" t="s">
        <v>866</v>
      </c>
      <c r="N755" s="3">
        <v>100</v>
      </c>
      <c r="O755" s="3">
        <v>84.27</v>
      </c>
      <c r="P755" s="3">
        <v>92.59</v>
      </c>
      <c r="Q755" s="3">
        <v>30.02</v>
      </c>
      <c r="R755" s="3">
        <v>100</v>
      </c>
      <c r="S755" s="3">
        <v>94.94</v>
      </c>
      <c r="T755" s="3">
        <v>144.59</v>
      </c>
      <c r="U755" s="3">
        <v>535.33000000000004</v>
      </c>
      <c r="V755" s="3" t="s">
        <v>59</v>
      </c>
      <c r="W755" s="3" t="s">
        <v>59</v>
      </c>
      <c r="X755" s="3" t="s">
        <v>59</v>
      </c>
      <c r="Y755" s="3" t="s">
        <v>59</v>
      </c>
    </row>
    <row r="756" spans="1:25" hidden="1" x14ac:dyDescent="0.3">
      <c r="A756" s="1">
        <v>470</v>
      </c>
      <c r="B756" s="1" t="s">
        <v>867</v>
      </c>
      <c r="C756" s="1" t="s">
        <v>47</v>
      </c>
      <c r="D756" s="1" t="s">
        <v>303</v>
      </c>
      <c r="E756" s="1" t="s">
        <v>28</v>
      </c>
      <c r="F756" s="1" t="s">
        <v>36</v>
      </c>
      <c r="G756" s="1" t="s">
        <v>30</v>
      </c>
      <c r="H756" s="1" t="s">
        <v>153</v>
      </c>
      <c r="I756" s="1">
        <v>100</v>
      </c>
      <c r="J756" s="1" t="s">
        <v>868</v>
      </c>
      <c r="K756" s="1" t="s">
        <v>186</v>
      </c>
      <c r="L756" s="1" t="s">
        <v>34</v>
      </c>
      <c r="M756" s="1" t="s">
        <v>34</v>
      </c>
      <c r="N756" s="4">
        <v>100</v>
      </c>
      <c r="O756" s="5">
        <v>105.6</v>
      </c>
      <c r="P756" s="5">
        <v>148.38</v>
      </c>
      <c r="Q756" s="5">
        <v>352.81</v>
      </c>
      <c r="R756" s="4">
        <v>100</v>
      </c>
      <c r="S756" s="5">
        <v>104.86</v>
      </c>
      <c r="T756" s="5">
        <v>118.1</v>
      </c>
      <c r="U756" s="6">
        <v>79.599999999999994</v>
      </c>
      <c r="V756" s="3" t="s">
        <v>59</v>
      </c>
      <c r="W756" s="3" t="s">
        <v>59</v>
      </c>
      <c r="X756" s="3" t="s">
        <v>59</v>
      </c>
      <c r="Y756" s="3" t="s">
        <v>59</v>
      </c>
    </row>
    <row r="757" spans="1:25" hidden="1" x14ac:dyDescent="0.3">
      <c r="A757">
        <v>470</v>
      </c>
      <c r="B757" t="s">
        <v>867</v>
      </c>
      <c r="C757" t="s">
        <v>47</v>
      </c>
      <c r="D757" t="s">
        <v>303</v>
      </c>
      <c r="E757" t="s">
        <v>28</v>
      </c>
      <c r="F757" t="s">
        <v>36</v>
      </c>
      <c r="G757" t="s">
        <v>30</v>
      </c>
      <c r="H757" t="s">
        <v>153</v>
      </c>
      <c r="I757">
        <v>100</v>
      </c>
      <c r="J757" t="s">
        <v>868</v>
      </c>
      <c r="K757" t="s">
        <v>186</v>
      </c>
      <c r="L757" t="s">
        <v>869</v>
      </c>
      <c r="M757" t="s">
        <v>870</v>
      </c>
      <c r="N757" s="3">
        <v>100</v>
      </c>
      <c r="O757" s="3">
        <v>100</v>
      </c>
      <c r="P757" s="3">
        <v>100</v>
      </c>
      <c r="Q757" s="3">
        <v>107.69</v>
      </c>
      <c r="R757" s="3">
        <v>100</v>
      </c>
      <c r="S757" s="3">
        <v>108.14</v>
      </c>
      <c r="T757" s="3">
        <v>105.65</v>
      </c>
      <c r="U757" s="3"/>
      <c r="V757" s="3" t="s">
        <v>59</v>
      </c>
      <c r="W757" s="3" t="s">
        <v>59</v>
      </c>
      <c r="X757" s="3" t="s">
        <v>59</v>
      </c>
      <c r="Y757" s="3" t="s">
        <v>59</v>
      </c>
    </row>
    <row r="758" spans="1:25" hidden="1" x14ac:dyDescent="0.3">
      <c r="A758">
        <v>470</v>
      </c>
      <c r="B758" t="s">
        <v>867</v>
      </c>
      <c r="C758" t="s">
        <v>47</v>
      </c>
      <c r="D758" t="s">
        <v>303</v>
      </c>
      <c r="E758" t="s">
        <v>28</v>
      </c>
      <c r="F758" t="s">
        <v>36</v>
      </c>
      <c r="G758" t="s">
        <v>30</v>
      </c>
      <c r="H758" t="s">
        <v>153</v>
      </c>
      <c r="I758">
        <v>100</v>
      </c>
      <c r="J758" t="s">
        <v>868</v>
      </c>
      <c r="K758" t="s">
        <v>186</v>
      </c>
      <c r="L758" t="s">
        <v>871</v>
      </c>
      <c r="M758" t="s">
        <v>872</v>
      </c>
      <c r="N758" s="3">
        <v>100</v>
      </c>
      <c r="O758" s="3">
        <v>115.29</v>
      </c>
      <c r="P758" s="3">
        <v>172.97</v>
      </c>
      <c r="Q758" s="3">
        <v>355.09</v>
      </c>
      <c r="R758" s="3">
        <v>100</v>
      </c>
      <c r="S758" s="3">
        <v>105.56</v>
      </c>
      <c r="T758" s="3">
        <v>93.97</v>
      </c>
      <c r="U758" s="3">
        <v>44.75</v>
      </c>
      <c r="V758" s="3" t="s">
        <v>59</v>
      </c>
      <c r="W758" s="3" t="s">
        <v>59</v>
      </c>
      <c r="X758" s="3" t="s">
        <v>59</v>
      </c>
      <c r="Y758" s="3" t="s">
        <v>59</v>
      </c>
    </row>
    <row r="759" spans="1:25" hidden="1" x14ac:dyDescent="0.3">
      <c r="A759">
        <v>470</v>
      </c>
      <c r="B759" t="s">
        <v>867</v>
      </c>
      <c r="C759" t="s">
        <v>47</v>
      </c>
      <c r="D759" t="s">
        <v>303</v>
      </c>
      <c r="E759" t="s">
        <v>28</v>
      </c>
      <c r="F759" t="s">
        <v>36</v>
      </c>
      <c r="G759" t="s">
        <v>30</v>
      </c>
      <c r="H759" t="s">
        <v>153</v>
      </c>
      <c r="I759">
        <v>100</v>
      </c>
      <c r="J759" t="s">
        <v>868</v>
      </c>
      <c r="K759" t="s">
        <v>186</v>
      </c>
      <c r="L759" t="s">
        <v>873</v>
      </c>
      <c r="M759" t="s">
        <v>874</v>
      </c>
      <c r="N759" s="3">
        <v>100</v>
      </c>
      <c r="O759" s="3">
        <v>106.38</v>
      </c>
      <c r="P759" s="3">
        <v>150.94</v>
      </c>
      <c r="Q759" s="3">
        <v>107.56</v>
      </c>
      <c r="R759" s="3">
        <v>100</v>
      </c>
      <c r="S759" s="3">
        <v>104.3</v>
      </c>
      <c r="T759" s="3">
        <v>111.76</v>
      </c>
      <c r="U759" s="3">
        <v>115.05</v>
      </c>
      <c r="V759" s="3" t="s">
        <v>59</v>
      </c>
      <c r="W759" s="3" t="s">
        <v>59</v>
      </c>
      <c r="X759" s="3" t="s">
        <v>59</v>
      </c>
      <c r="Y759" s="3" t="s">
        <v>59</v>
      </c>
    </row>
    <row r="760" spans="1:25" hidden="1" x14ac:dyDescent="0.3">
      <c r="A760">
        <v>470</v>
      </c>
      <c r="B760" t="s">
        <v>867</v>
      </c>
      <c r="C760" t="s">
        <v>47</v>
      </c>
      <c r="D760" t="s">
        <v>303</v>
      </c>
      <c r="E760" t="s">
        <v>28</v>
      </c>
      <c r="F760" t="s">
        <v>36</v>
      </c>
      <c r="G760" t="s">
        <v>30</v>
      </c>
      <c r="H760" t="s">
        <v>153</v>
      </c>
      <c r="I760">
        <v>100</v>
      </c>
      <c r="J760" t="s">
        <v>868</v>
      </c>
      <c r="K760" t="s">
        <v>186</v>
      </c>
      <c r="L760" t="s">
        <v>875</v>
      </c>
      <c r="M760" t="s">
        <v>876</v>
      </c>
      <c r="N760" s="3">
        <v>100</v>
      </c>
      <c r="O760" s="3">
        <v>103.09</v>
      </c>
      <c r="P760" s="3">
        <v>81.13</v>
      </c>
      <c r="Q760" s="3">
        <v>98.17</v>
      </c>
      <c r="R760" s="3">
        <v>100</v>
      </c>
      <c r="S760" s="3">
        <v>103.33</v>
      </c>
      <c r="T760" s="3">
        <v>121.31</v>
      </c>
      <c r="U760" s="3">
        <v>105.61</v>
      </c>
      <c r="V760" s="3" t="s">
        <v>59</v>
      </c>
      <c r="W760" s="3" t="s">
        <v>59</v>
      </c>
      <c r="X760" s="3" t="s">
        <v>59</v>
      </c>
      <c r="Y760" s="3" t="s">
        <v>59</v>
      </c>
    </row>
    <row r="761" spans="1:25" hidden="1" x14ac:dyDescent="0.3">
      <c r="A761">
        <v>470</v>
      </c>
      <c r="B761" t="s">
        <v>867</v>
      </c>
      <c r="C761" t="s">
        <v>47</v>
      </c>
      <c r="D761" t="s">
        <v>303</v>
      </c>
      <c r="E761" t="s">
        <v>28</v>
      </c>
      <c r="F761" t="s">
        <v>36</v>
      </c>
      <c r="G761" t="s">
        <v>30</v>
      </c>
      <c r="H761" t="s">
        <v>153</v>
      </c>
      <c r="I761">
        <v>100</v>
      </c>
      <c r="J761" t="s">
        <v>868</v>
      </c>
      <c r="K761" t="s">
        <v>186</v>
      </c>
      <c r="L761" t="s">
        <v>877</v>
      </c>
      <c r="M761" t="s">
        <v>878</v>
      </c>
      <c r="N761" s="3">
        <v>100</v>
      </c>
      <c r="O761" s="3">
        <v>103.23</v>
      </c>
      <c r="P761" s="3">
        <v>236.84</v>
      </c>
      <c r="Q761" s="3">
        <v>1095.52</v>
      </c>
      <c r="R761" s="3">
        <v>100</v>
      </c>
      <c r="S761" s="3">
        <v>102.74</v>
      </c>
      <c r="T761" s="3">
        <v>157.82</v>
      </c>
      <c r="U761" s="3">
        <v>132.59</v>
      </c>
      <c r="V761" s="3" t="s">
        <v>59</v>
      </c>
      <c r="W761" s="3" t="s">
        <v>59</v>
      </c>
      <c r="X761" s="3" t="s">
        <v>59</v>
      </c>
      <c r="Y761" s="3" t="s">
        <v>59</v>
      </c>
    </row>
    <row r="762" spans="1:25" hidden="1" x14ac:dyDescent="0.3">
      <c r="A762" s="1">
        <v>471</v>
      </c>
      <c r="B762" s="1" t="s">
        <v>879</v>
      </c>
      <c r="C762" s="1" t="s">
        <v>47</v>
      </c>
      <c r="D762" s="1" t="s">
        <v>303</v>
      </c>
      <c r="E762" s="1" t="s">
        <v>28</v>
      </c>
      <c r="F762" s="1" t="s">
        <v>36</v>
      </c>
      <c r="G762" s="1" t="s">
        <v>30</v>
      </c>
      <c r="H762" s="1" t="s">
        <v>153</v>
      </c>
      <c r="I762" s="1">
        <v>100</v>
      </c>
      <c r="J762" s="1" t="s">
        <v>880</v>
      </c>
      <c r="K762" s="1" t="s">
        <v>186</v>
      </c>
      <c r="L762" s="1" t="s">
        <v>34</v>
      </c>
      <c r="M762" s="1" t="s">
        <v>34</v>
      </c>
      <c r="N762" s="4">
        <v>99.86</v>
      </c>
      <c r="O762" s="4">
        <v>98.93</v>
      </c>
      <c r="P762" s="6">
        <v>94.02</v>
      </c>
      <c r="Q762" s="4">
        <v>103.51</v>
      </c>
      <c r="R762" s="4">
        <v>99</v>
      </c>
      <c r="S762" s="6">
        <v>91.07</v>
      </c>
      <c r="T762" s="5">
        <v>105.56</v>
      </c>
      <c r="U762" s="5">
        <v>108.48</v>
      </c>
      <c r="V762" s="3" t="s">
        <v>59</v>
      </c>
      <c r="W762" s="3" t="s">
        <v>59</v>
      </c>
      <c r="X762" s="3" t="s">
        <v>59</v>
      </c>
      <c r="Y762" s="3" t="s">
        <v>59</v>
      </c>
    </row>
    <row r="763" spans="1:25" hidden="1" x14ac:dyDescent="0.3">
      <c r="A763">
        <v>471</v>
      </c>
      <c r="B763" t="s">
        <v>879</v>
      </c>
      <c r="C763" t="s">
        <v>47</v>
      </c>
      <c r="D763" t="s">
        <v>303</v>
      </c>
      <c r="E763" t="s">
        <v>28</v>
      </c>
      <c r="F763" t="s">
        <v>36</v>
      </c>
      <c r="G763" t="s">
        <v>30</v>
      </c>
      <c r="H763" t="s">
        <v>153</v>
      </c>
      <c r="I763">
        <v>100</v>
      </c>
      <c r="J763" t="s">
        <v>880</v>
      </c>
      <c r="K763" t="s">
        <v>186</v>
      </c>
      <c r="L763" t="s">
        <v>881</v>
      </c>
      <c r="M763" t="s">
        <v>882</v>
      </c>
      <c r="N763" s="3">
        <v>99</v>
      </c>
      <c r="O763" s="3">
        <v>93.55</v>
      </c>
      <c r="P763" s="3">
        <v>100</v>
      </c>
      <c r="Q763" s="3">
        <v>100.42</v>
      </c>
      <c r="R763" s="3">
        <v>97</v>
      </c>
      <c r="S763" s="3">
        <v>98.89</v>
      </c>
      <c r="T763" s="3">
        <v>80.319999999999993</v>
      </c>
      <c r="U763" s="3">
        <v>147.38999999999999</v>
      </c>
      <c r="V763" s="3" t="s">
        <v>59</v>
      </c>
      <c r="W763" s="3" t="s">
        <v>59</v>
      </c>
      <c r="X763" s="3" t="s">
        <v>59</v>
      </c>
      <c r="Y763" s="3" t="s">
        <v>59</v>
      </c>
    </row>
    <row r="764" spans="1:25" hidden="1" x14ac:dyDescent="0.3">
      <c r="A764">
        <v>471</v>
      </c>
      <c r="B764" t="s">
        <v>879</v>
      </c>
      <c r="C764" t="s">
        <v>47</v>
      </c>
      <c r="D764" t="s">
        <v>303</v>
      </c>
      <c r="E764" t="s">
        <v>28</v>
      </c>
      <c r="F764" t="s">
        <v>36</v>
      </c>
      <c r="G764" t="s">
        <v>30</v>
      </c>
      <c r="H764" t="s">
        <v>153</v>
      </c>
      <c r="I764">
        <v>100</v>
      </c>
      <c r="J764" t="s">
        <v>880</v>
      </c>
      <c r="K764" t="s">
        <v>186</v>
      </c>
      <c r="L764" t="s">
        <v>883</v>
      </c>
      <c r="M764" t="s">
        <v>884</v>
      </c>
      <c r="N764" s="3">
        <v>100</v>
      </c>
      <c r="O764" s="3">
        <v>106.59</v>
      </c>
      <c r="P764" s="3">
        <v>73.33</v>
      </c>
      <c r="Q764" s="3">
        <v>73.41</v>
      </c>
      <c r="R764" s="3">
        <v>100</v>
      </c>
      <c r="S764" s="3">
        <v>71.430000000000007</v>
      </c>
      <c r="T764" s="3">
        <v>76.22</v>
      </c>
      <c r="U764" s="3">
        <v>96.3</v>
      </c>
      <c r="V764" s="3" t="s">
        <v>59</v>
      </c>
      <c r="W764" s="3" t="s">
        <v>59</v>
      </c>
      <c r="X764" s="3" t="s">
        <v>59</v>
      </c>
      <c r="Y764" s="3" t="s">
        <v>59</v>
      </c>
    </row>
    <row r="765" spans="1:25" hidden="1" x14ac:dyDescent="0.3">
      <c r="A765">
        <v>471</v>
      </c>
      <c r="B765" t="s">
        <v>879</v>
      </c>
      <c r="C765" t="s">
        <v>47</v>
      </c>
      <c r="D765" t="s">
        <v>303</v>
      </c>
      <c r="E765" t="s">
        <v>28</v>
      </c>
      <c r="F765" t="s">
        <v>36</v>
      </c>
      <c r="G765" t="s">
        <v>30</v>
      </c>
      <c r="H765" t="s">
        <v>153</v>
      </c>
      <c r="I765">
        <v>100</v>
      </c>
      <c r="J765" t="s">
        <v>880</v>
      </c>
      <c r="K765" t="s">
        <v>186</v>
      </c>
      <c r="L765" t="s">
        <v>885</v>
      </c>
      <c r="M765" t="s">
        <v>886</v>
      </c>
      <c r="N765" s="3">
        <v>100</v>
      </c>
      <c r="O765" s="3">
        <v>120.48</v>
      </c>
      <c r="P765" s="3">
        <v>99.88</v>
      </c>
      <c r="Q765" s="3">
        <v>186.57</v>
      </c>
      <c r="R765" s="3">
        <v>100</v>
      </c>
      <c r="S765" s="3">
        <v>111.11</v>
      </c>
      <c r="T765" s="3">
        <v>148.38999999999999</v>
      </c>
      <c r="U765" s="3">
        <v>157.69</v>
      </c>
      <c r="V765" s="3" t="s">
        <v>59</v>
      </c>
      <c r="W765" s="3" t="s">
        <v>59</v>
      </c>
      <c r="X765" s="3" t="s">
        <v>59</v>
      </c>
      <c r="Y765" s="3" t="s">
        <v>59</v>
      </c>
    </row>
    <row r="766" spans="1:25" hidden="1" x14ac:dyDescent="0.3">
      <c r="A766">
        <v>471</v>
      </c>
      <c r="B766" t="s">
        <v>879</v>
      </c>
      <c r="C766" t="s">
        <v>47</v>
      </c>
      <c r="D766" t="s">
        <v>303</v>
      </c>
      <c r="E766" t="s">
        <v>28</v>
      </c>
      <c r="F766" t="s">
        <v>36</v>
      </c>
      <c r="G766" t="s">
        <v>30</v>
      </c>
      <c r="H766" t="s">
        <v>153</v>
      </c>
      <c r="I766">
        <v>100</v>
      </c>
      <c r="J766" t="s">
        <v>880</v>
      </c>
      <c r="K766" t="s">
        <v>186</v>
      </c>
      <c r="L766" t="s">
        <v>887</v>
      </c>
      <c r="M766" t="s">
        <v>888</v>
      </c>
      <c r="N766" s="3">
        <v>100</v>
      </c>
      <c r="O766" s="3">
        <v>102.13</v>
      </c>
      <c r="P766" s="3">
        <v>87.18</v>
      </c>
      <c r="Q766" s="3">
        <v>86.16</v>
      </c>
      <c r="R766" s="3">
        <v>100</v>
      </c>
      <c r="S766" s="3">
        <v>104.65</v>
      </c>
      <c r="T766" s="3">
        <v>108.83</v>
      </c>
      <c r="U766" s="3">
        <v>75.819999999999993</v>
      </c>
      <c r="V766" s="3" t="s">
        <v>59</v>
      </c>
      <c r="W766" s="3" t="s">
        <v>59</v>
      </c>
      <c r="X766" s="3" t="s">
        <v>59</v>
      </c>
      <c r="Y766" s="3" t="s">
        <v>59</v>
      </c>
    </row>
    <row r="767" spans="1:25" hidden="1" x14ac:dyDescent="0.3">
      <c r="A767">
        <v>471</v>
      </c>
      <c r="B767" t="s">
        <v>879</v>
      </c>
      <c r="C767" t="s">
        <v>47</v>
      </c>
      <c r="D767" t="s">
        <v>303</v>
      </c>
      <c r="E767" t="s">
        <v>28</v>
      </c>
      <c r="F767" t="s">
        <v>36</v>
      </c>
      <c r="G767" t="s">
        <v>30</v>
      </c>
      <c r="H767" t="s">
        <v>153</v>
      </c>
      <c r="I767">
        <v>100</v>
      </c>
      <c r="J767" t="s">
        <v>880</v>
      </c>
      <c r="K767" t="s">
        <v>186</v>
      </c>
      <c r="L767" t="s">
        <v>889</v>
      </c>
      <c r="M767" t="s">
        <v>890</v>
      </c>
      <c r="N767" s="3">
        <v>100</v>
      </c>
      <c r="O767" s="3">
        <v>73.680000000000007</v>
      </c>
      <c r="P767" s="3">
        <v>87.5</v>
      </c>
      <c r="Q767" s="3">
        <v>57.59</v>
      </c>
      <c r="R767" s="3">
        <v>100</v>
      </c>
      <c r="S767" s="3">
        <v>67.03</v>
      </c>
      <c r="T767" s="3">
        <v>95.59</v>
      </c>
      <c r="U767" s="3">
        <v>90.91</v>
      </c>
      <c r="V767" s="3" t="s">
        <v>59</v>
      </c>
      <c r="W767" s="3" t="s">
        <v>59</v>
      </c>
      <c r="X767" s="3" t="s">
        <v>59</v>
      </c>
      <c r="Y767" s="3" t="s">
        <v>59</v>
      </c>
    </row>
    <row r="768" spans="1:25" hidden="1" x14ac:dyDescent="0.3">
      <c r="A768">
        <v>471</v>
      </c>
      <c r="B768" t="s">
        <v>879</v>
      </c>
      <c r="C768" t="s">
        <v>47</v>
      </c>
      <c r="D768" t="s">
        <v>303</v>
      </c>
      <c r="E768" t="s">
        <v>28</v>
      </c>
      <c r="F768" t="s">
        <v>36</v>
      </c>
      <c r="G768" t="s">
        <v>30</v>
      </c>
      <c r="H768" t="s">
        <v>153</v>
      </c>
      <c r="I768">
        <v>100</v>
      </c>
      <c r="J768" t="s">
        <v>880</v>
      </c>
      <c r="K768" t="s">
        <v>186</v>
      </c>
      <c r="L768" t="s">
        <v>891</v>
      </c>
      <c r="M768" t="s">
        <v>892</v>
      </c>
      <c r="N768" s="3">
        <v>100</v>
      </c>
      <c r="O768" s="3">
        <v>113.95</v>
      </c>
      <c r="P768" s="3">
        <v>104.35</v>
      </c>
      <c r="Q768" s="3">
        <v>103.51</v>
      </c>
      <c r="R768" s="3">
        <v>100</v>
      </c>
      <c r="S768" s="3">
        <v>96.39</v>
      </c>
      <c r="T768" s="3">
        <v>108.41</v>
      </c>
      <c r="U768" s="3">
        <v>103.25</v>
      </c>
      <c r="V768" s="3" t="s">
        <v>59</v>
      </c>
      <c r="W768" s="3" t="s">
        <v>59</v>
      </c>
      <c r="X768" s="3" t="s">
        <v>59</v>
      </c>
      <c r="Y768" s="3" t="s">
        <v>59</v>
      </c>
    </row>
    <row r="769" spans="1:25" hidden="1" x14ac:dyDescent="0.3">
      <c r="A769">
        <v>471</v>
      </c>
      <c r="B769" t="s">
        <v>879</v>
      </c>
      <c r="C769" t="s">
        <v>47</v>
      </c>
      <c r="D769" t="s">
        <v>303</v>
      </c>
      <c r="E769" t="s">
        <v>28</v>
      </c>
      <c r="F769" t="s">
        <v>36</v>
      </c>
      <c r="G769" t="s">
        <v>30</v>
      </c>
      <c r="H769" t="s">
        <v>153</v>
      </c>
      <c r="I769">
        <v>100</v>
      </c>
      <c r="J769" t="s">
        <v>880</v>
      </c>
      <c r="K769" t="s">
        <v>186</v>
      </c>
      <c r="L769" t="s">
        <v>893</v>
      </c>
      <c r="M769" t="s">
        <v>894</v>
      </c>
      <c r="N769" s="3">
        <v>100</v>
      </c>
      <c r="O769" s="3">
        <v>82.11</v>
      </c>
      <c r="P769" s="3">
        <v>105.88</v>
      </c>
      <c r="Q769" s="3">
        <v>116.9</v>
      </c>
      <c r="R769" s="3">
        <v>96</v>
      </c>
      <c r="S769" s="3">
        <v>87.65</v>
      </c>
      <c r="T769" s="3">
        <v>121.17</v>
      </c>
      <c r="U769" s="3">
        <v>87.99</v>
      </c>
      <c r="V769" s="3" t="s">
        <v>59</v>
      </c>
      <c r="W769" s="3" t="s">
        <v>59</v>
      </c>
      <c r="X769" s="3" t="s">
        <v>59</v>
      </c>
      <c r="Y769" s="3" t="s">
        <v>59</v>
      </c>
    </row>
    <row r="770" spans="1:25" hidden="1" x14ac:dyDescent="0.3">
      <c r="A770" s="1">
        <v>484</v>
      </c>
      <c r="B770" s="1" t="s">
        <v>920</v>
      </c>
      <c r="C770" s="1" t="s">
        <v>26</v>
      </c>
      <c r="D770" s="1" t="s">
        <v>52</v>
      </c>
      <c r="E770" s="1" t="s">
        <v>28</v>
      </c>
      <c r="F770" s="1" t="s">
        <v>36</v>
      </c>
      <c r="G770" s="1" t="s">
        <v>30</v>
      </c>
      <c r="H770" s="1" t="s">
        <v>31</v>
      </c>
      <c r="I770" s="1">
        <v>90</v>
      </c>
      <c r="J770" s="1" t="s">
        <v>921</v>
      </c>
      <c r="K770" s="1" t="s">
        <v>33</v>
      </c>
      <c r="L770" s="1" t="s">
        <v>33</v>
      </c>
      <c r="M770" s="1" t="s">
        <v>34</v>
      </c>
      <c r="N770" s="4">
        <v>100</v>
      </c>
      <c r="O770" s="4">
        <v>100</v>
      </c>
      <c r="P770" s="4">
        <v>100</v>
      </c>
      <c r="Q770" s="4">
        <v>100</v>
      </c>
      <c r="R770" s="4">
        <v>100</v>
      </c>
      <c r="S770" s="4">
        <v>100</v>
      </c>
      <c r="T770" s="4">
        <v>100</v>
      </c>
      <c r="U770" s="3"/>
      <c r="V770" s="3"/>
      <c r="W770" s="3"/>
      <c r="X770" s="3"/>
      <c r="Y770" s="3"/>
    </row>
    <row r="771" spans="1:25" hidden="1" x14ac:dyDescent="0.3">
      <c r="A771" s="1">
        <v>510</v>
      </c>
      <c r="B771" s="1" t="s">
        <v>1012</v>
      </c>
      <c r="C771" s="1" t="s">
        <v>26</v>
      </c>
      <c r="D771" s="1" t="s">
        <v>810</v>
      </c>
      <c r="E771" s="1" t="s">
        <v>28</v>
      </c>
      <c r="F771" s="1" t="s">
        <v>36</v>
      </c>
      <c r="G771" s="1" t="s">
        <v>30</v>
      </c>
      <c r="H771" s="1" t="s">
        <v>153</v>
      </c>
      <c r="I771" s="1" t="s">
        <v>117</v>
      </c>
      <c r="J771" s="1" t="s">
        <v>1013</v>
      </c>
      <c r="K771" s="1" t="s">
        <v>155</v>
      </c>
      <c r="L771" s="1" t="s">
        <v>34</v>
      </c>
      <c r="M771" s="1" t="s">
        <v>34</v>
      </c>
      <c r="N771" s="8">
        <v>0</v>
      </c>
      <c r="O771" s="8">
        <v>0</v>
      </c>
      <c r="P771" s="8">
        <v>0</v>
      </c>
      <c r="Q771" s="8">
        <v>0</v>
      </c>
      <c r="R771" s="3" t="s">
        <v>59</v>
      </c>
      <c r="S771" s="3" t="s">
        <v>59</v>
      </c>
      <c r="T771" s="3" t="s">
        <v>59</v>
      </c>
      <c r="U771" s="3" t="s">
        <v>59</v>
      </c>
      <c r="V771" s="3" t="s">
        <v>59</v>
      </c>
      <c r="W771" s="3" t="s">
        <v>59</v>
      </c>
      <c r="X771" s="3"/>
      <c r="Y771" s="3" t="s">
        <v>59</v>
      </c>
    </row>
    <row r="772" spans="1:25" hidden="1" x14ac:dyDescent="0.3">
      <c r="A772">
        <v>510</v>
      </c>
      <c r="B772" t="s">
        <v>1012</v>
      </c>
      <c r="C772" t="s">
        <v>26</v>
      </c>
      <c r="D772" t="s">
        <v>810</v>
      </c>
      <c r="E772" t="s">
        <v>28</v>
      </c>
      <c r="F772" t="s">
        <v>36</v>
      </c>
      <c r="G772" t="s">
        <v>30</v>
      </c>
      <c r="H772" t="s">
        <v>153</v>
      </c>
      <c r="I772" t="s">
        <v>117</v>
      </c>
      <c r="J772" t="s">
        <v>1013</v>
      </c>
      <c r="K772" t="s">
        <v>155</v>
      </c>
      <c r="L772" t="s">
        <v>1014</v>
      </c>
      <c r="M772" t="s">
        <v>1015</v>
      </c>
      <c r="N772" s="3">
        <v>0</v>
      </c>
      <c r="O772" s="3"/>
      <c r="P772" s="3"/>
      <c r="Q772" s="3"/>
      <c r="R772" s="3" t="s">
        <v>59</v>
      </c>
      <c r="S772" s="3" t="s">
        <v>59</v>
      </c>
      <c r="T772" s="3" t="s">
        <v>59</v>
      </c>
      <c r="U772" s="3" t="s">
        <v>59</v>
      </c>
      <c r="V772" s="3" t="s">
        <v>59</v>
      </c>
      <c r="W772" s="3" t="s">
        <v>59</v>
      </c>
      <c r="X772" s="3" t="s">
        <v>59</v>
      </c>
      <c r="Y772" s="3" t="s">
        <v>59</v>
      </c>
    </row>
    <row r="773" spans="1:25" hidden="1" x14ac:dyDescent="0.3">
      <c r="A773" s="1">
        <v>511</v>
      </c>
      <c r="B773" s="1" t="s">
        <v>1016</v>
      </c>
      <c r="C773" s="1" t="s">
        <v>26</v>
      </c>
      <c r="D773" s="1" t="s">
        <v>810</v>
      </c>
      <c r="E773" s="1" t="s">
        <v>28</v>
      </c>
      <c r="F773" s="1" t="s">
        <v>36</v>
      </c>
      <c r="G773" s="1" t="s">
        <v>30</v>
      </c>
      <c r="H773" s="1" t="s">
        <v>153</v>
      </c>
      <c r="I773" s="1" t="s">
        <v>117</v>
      </c>
      <c r="J773" s="1" t="s">
        <v>1017</v>
      </c>
      <c r="K773" s="1" t="s">
        <v>155</v>
      </c>
      <c r="L773" s="1" t="s">
        <v>34</v>
      </c>
      <c r="M773" s="1" t="s">
        <v>34</v>
      </c>
      <c r="N773" s="8">
        <v>84.76</v>
      </c>
      <c r="O773" s="8">
        <v>86.36</v>
      </c>
      <c r="P773" s="8">
        <v>86.36</v>
      </c>
      <c r="Q773" s="3" t="s">
        <v>59</v>
      </c>
      <c r="R773" s="3" t="s">
        <v>59</v>
      </c>
      <c r="S773" s="3" t="s">
        <v>59</v>
      </c>
      <c r="T773" s="3" t="s">
        <v>59</v>
      </c>
      <c r="U773" s="3" t="s">
        <v>59</v>
      </c>
      <c r="V773" s="3" t="s">
        <v>59</v>
      </c>
      <c r="W773" s="3" t="s">
        <v>59</v>
      </c>
      <c r="X773" s="3"/>
      <c r="Y773" s="3" t="s">
        <v>59</v>
      </c>
    </row>
    <row r="774" spans="1:25" hidden="1" x14ac:dyDescent="0.3">
      <c r="A774">
        <v>511</v>
      </c>
      <c r="B774" t="s">
        <v>1016</v>
      </c>
      <c r="C774" t="s">
        <v>26</v>
      </c>
      <c r="D774" t="s">
        <v>810</v>
      </c>
      <c r="E774" t="s">
        <v>28</v>
      </c>
      <c r="F774" t="s">
        <v>36</v>
      </c>
      <c r="G774" t="s">
        <v>30</v>
      </c>
      <c r="H774" t="s">
        <v>153</v>
      </c>
      <c r="I774" t="s">
        <v>117</v>
      </c>
      <c r="J774" t="s">
        <v>1017</v>
      </c>
      <c r="K774" t="s">
        <v>155</v>
      </c>
      <c r="L774" t="s">
        <v>1018</v>
      </c>
      <c r="M774" t="s">
        <v>1019</v>
      </c>
      <c r="N774" s="3">
        <v>74.290000000000006</v>
      </c>
      <c r="O774" s="3">
        <v>80.849999999999994</v>
      </c>
      <c r="P774" s="3">
        <v>80.849999999999994</v>
      </c>
      <c r="Q774" s="3">
        <v>80.849999999999994</v>
      </c>
      <c r="R774" s="3" t="s">
        <v>59</v>
      </c>
      <c r="S774" s="3" t="s">
        <v>59</v>
      </c>
      <c r="T774" s="3" t="s">
        <v>59</v>
      </c>
      <c r="U774" s="3" t="s">
        <v>59</v>
      </c>
      <c r="V774" s="3" t="s">
        <v>59</v>
      </c>
      <c r="W774" s="3" t="s">
        <v>59</v>
      </c>
      <c r="X774" s="3" t="s">
        <v>59</v>
      </c>
      <c r="Y774" s="3" t="s">
        <v>59</v>
      </c>
    </row>
    <row r="775" spans="1:25" hidden="1" x14ac:dyDescent="0.3">
      <c r="A775">
        <v>511</v>
      </c>
      <c r="B775" t="s">
        <v>1016</v>
      </c>
      <c r="C775" t="s">
        <v>26</v>
      </c>
      <c r="D775" t="s">
        <v>810</v>
      </c>
      <c r="E775" t="s">
        <v>28</v>
      </c>
      <c r="F775" t="s">
        <v>36</v>
      </c>
      <c r="G775" t="s">
        <v>30</v>
      </c>
      <c r="H775" t="s">
        <v>153</v>
      </c>
      <c r="I775" t="s">
        <v>117</v>
      </c>
      <c r="J775" t="s">
        <v>1017</v>
      </c>
      <c r="K775" t="s">
        <v>155</v>
      </c>
      <c r="L775" t="s">
        <v>1020</v>
      </c>
      <c r="M775" t="s">
        <v>1021</v>
      </c>
      <c r="N775" s="3">
        <v>100</v>
      </c>
      <c r="O775" s="3">
        <v>100</v>
      </c>
      <c r="P775" s="3">
        <v>100</v>
      </c>
      <c r="Q775" s="3">
        <v>100</v>
      </c>
      <c r="R775" s="3" t="s">
        <v>59</v>
      </c>
      <c r="S775" s="3" t="s">
        <v>59</v>
      </c>
      <c r="T775" s="3" t="s">
        <v>59</v>
      </c>
      <c r="U775" s="3" t="s">
        <v>59</v>
      </c>
      <c r="V775" s="3" t="s">
        <v>59</v>
      </c>
      <c r="W775" s="3" t="s">
        <v>59</v>
      </c>
      <c r="X775" s="3" t="s">
        <v>59</v>
      </c>
      <c r="Y775" s="3" t="s">
        <v>59</v>
      </c>
    </row>
    <row r="776" spans="1:25" hidden="1" x14ac:dyDescent="0.3">
      <c r="A776">
        <v>511</v>
      </c>
      <c r="B776" t="s">
        <v>1016</v>
      </c>
      <c r="C776" t="s">
        <v>26</v>
      </c>
      <c r="D776" t="s">
        <v>810</v>
      </c>
      <c r="E776" t="s">
        <v>28</v>
      </c>
      <c r="F776" t="s">
        <v>36</v>
      </c>
      <c r="G776" t="s">
        <v>30</v>
      </c>
      <c r="H776" t="s">
        <v>153</v>
      </c>
      <c r="I776" t="s">
        <v>117</v>
      </c>
      <c r="J776" t="s">
        <v>1017</v>
      </c>
      <c r="K776" t="s">
        <v>155</v>
      </c>
      <c r="L776" t="s">
        <v>1022</v>
      </c>
      <c r="M776" t="s">
        <v>1023</v>
      </c>
      <c r="N776" s="3">
        <v>100</v>
      </c>
      <c r="O776" s="3">
        <v>100</v>
      </c>
      <c r="P776" s="3">
        <v>100</v>
      </c>
      <c r="Q776" s="3">
        <v>100</v>
      </c>
      <c r="R776" s="3" t="s">
        <v>59</v>
      </c>
      <c r="S776" s="3" t="s">
        <v>59</v>
      </c>
      <c r="T776" s="3" t="s">
        <v>59</v>
      </c>
      <c r="U776" s="3" t="s">
        <v>59</v>
      </c>
      <c r="V776" s="3" t="s">
        <v>59</v>
      </c>
      <c r="W776" s="3" t="s">
        <v>59</v>
      </c>
      <c r="X776" s="3" t="s">
        <v>59</v>
      </c>
      <c r="Y776" s="3" t="s">
        <v>59</v>
      </c>
    </row>
    <row r="777" spans="1:25" hidden="1" x14ac:dyDescent="0.3">
      <c r="A777">
        <v>511</v>
      </c>
      <c r="B777" t="s">
        <v>1016</v>
      </c>
      <c r="C777" t="s">
        <v>26</v>
      </c>
      <c r="D777" t="s">
        <v>810</v>
      </c>
      <c r="E777" t="s">
        <v>28</v>
      </c>
      <c r="F777" t="s">
        <v>36</v>
      </c>
      <c r="G777" t="s">
        <v>30</v>
      </c>
      <c r="H777" t="s">
        <v>153</v>
      </c>
      <c r="I777" t="s">
        <v>117</v>
      </c>
      <c r="J777" t="s">
        <v>1017</v>
      </c>
      <c r="K777" t="s">
        <v>155</v>
      </c>
      <c r="L777" t="s">
        <v>1024</v>
      </c>
      <c r="M777" t="s">
        <v>1025</v>
      </c>
      <c r="N777" s="3">
        <v>93.33</v>
      </c>
      <c r="O777" s="3">
        <v>92.86</v>
      </c>
      <c r="P777" s="3">
        <v>92.86</v>
      </c>
      <c r="Q777" s="3">
        <v>92.86</v>
      </c>
      <c r="R777" s="3" t="s">
        <v>59</v>
      </c>
      <c r="S777" s="3" t="s">
        <v>59</v>
      </c>
      <c r="T777" s="3" t="s">
        <v>59</v>
      </c>
      <c r="U777" s="3" t="s">
        <v>59</v>
      </c>
      <c r="V777" s="3" t="s">
        <v>59</v>
      </c>
      <c r="W777" s="3" t="s">
        <v>59</v>
      </c>
      <c r="X777" s="3" t="s">
        <v>59</v>
      </c>
      <c r="Y777" s="3" t="s">
        <v>59</v>
      </c>
    </row>
    <row r="778" spans="1:25" hidden="1" x14ac:dyDescent="0.3">
      <c r="A778">
        <v>511</v>
      </c>
      <c r="B778" t="s">
        <v>1016</v>
      </c>
      <c r="C778" t="s">
        <v>26</v>
      </c>
      <c r="D778" t="s">
        <v>810</v>
      </c>
      <c r="E778" t="s">
        <v>28</v>
      </c>
      <c r="F778" t="s">
        <v>36</v>
      </c>
      <c r="G778" t="s">
        <v>30</v>
      </c>
      <c r="H778" t="s">
        <v>153</v>
      </c>
      <c r="I778" t="s">
        <v>117</v>
      </c>
      <c r="J778" t="s">
        <v>1017</v>
      </c>
      <c r="K778" t="s">
        <v>155</v>
      </c>
      <c r="L778" t="s">
        <v>1026</v>
      </c>
      <c r="M778" t="s">
        <v>1027</v>
      </c>
      <c r="N778" s="3">
        <v>100</v>
      </c>
      <c r="O778" s="3">
        <v>75</v>
      </c>
      <c r="P778" s="3">
        <v>75</v>
      </c>
      <c r="Q778" s="3" t="s">
        <v>59</v>
      </c>
      <c r="R778" s="3" t="s">
        <v>59</v>
      </c>
      <c r="S778" s="3" t="s">
        <v>59</v>
      </c>
      <c r="T778" s="3" t="s">
        <v>59</v>
      </c>
      <c r="U778" s="3" t="s">
        <v>59</v>
      </c>
      <c r="V778" s="3" t="s">
        <v>59</v>
      </c>
      <c r="W778" s="3" t="s">
        <v>59</v>
      </c>
      <c r="X778" s="3" t="s">
        <v>59</v>
      </c>
      <c r="Y778" s="3" t="s">
        <v>59</v>
      </c>
    </row>
    <row r="779" spans="1:25" hidden="1" x14ac:dyDescent="0.3">
      <c r="A779">
        <v>511</v>
      </c>
      <c r="B779" t="s">
        <v>1016</v>
      </c>
      <c r="C779" t="s">
        <v>26</v>
      </c>
      <c r="D779" t="s">
        <v>810</v>
      </c>
      <c r="E779" t="s">
        <v>28</v>
      </c>
      <c r="F779" t="s">
        <v>36</v>
      </c>
      <c r="G779" t="s">
        <v>30</v>
      </c>
      <c r="H779" t="s">
        <v>153</v>
      </c>
      <c r="I779" t="s">
        <v>117</v>
      </c>
      <c r="J779" t="s">
        <v>1017</v>
      </c>
      <c r="K779" t="s">
        <v>155</v>
      </c>
      <c r="L779" t="s">
        <v>1028</v>
      </c>
      <c r="M779" t="s">
        <v>1029</v>
      </c>
      <c r="N779" s="3">
        <v>81.66</v>
      </c>
      <c r="O779" s="3">
        <v>82.32</v>
      </c>
      <c r="P779" s="3">
        <v>82.32</v>
      </c>
      <c r="Q779" s="3" t="s">
        <v>59</v>
      </c>
      <c r="R779" s="3" t="s">
        <v>59</v>
      </c>
      <c r="S779" s="3" t="s">
        <v>59</v>
      </c>
      <c r="T779" s="3" t="s">
        <v>59</v>
      </c>
      <c r="U779" s="3" t="s">
        <v>59</v>
      </c>
      <c r="V779" s="3" t="s">
        <v>59</v>
      </c>
      <c r="W779" s="3" t="s">
        <v>59</v>
      </c>
      <c r="X779" s="3" t="s">
        <v>59</v>
      </c>
      <c r="Y779" s="3" t="s">
        <v>59</v>
      </c>
    </row>
    <row r="780" spans="1:25" hidden="1" x14ac:dyDescent="0.3">
      <c r="A780">
        <v>511</v>
      </c>
      <c r="B780" t="s">
        <v>1016</v>
      </c>
      <c r="C780" t="s">
        <v>26</v>
      </c>
      <c r="D780" t="s">
        <v>810</v>
      </c>
      <c r="E780" t="s">
        <v>28</v>
      </c>
      <c r="F780" t="s">
        <v>36</v>
      </c>
      <c r="G780" t="s">
        <v>30</v>
      </c>
      <c r="H780" t="s">
        <v>153</v>
      </c>
      <c r="I780" t="s">
        <v>117</v>
      </c>
      <c r="J780" t="s">
        <v>1017</v>
      </c>
      <c r="K780" t="s">
        <v>155</v>
      </c>
      <c r="L780" t="s">
        <v>1030</v>
      </c>
      <c r="M780" t="s">
        <v>1031</v>
      </c>
      <c r="N780" s="3">
        <v>100</v>
      </c>
      <c r="O780" s="3">
        <v>100</v>
      </c>
      <c r="P780" s="3">
        <v>100</v>
      </c>
      <c r="Q780" s="3" t="s">
        <v>59</v>
      </c>
      <c r="R780" s="3" t="s">
        <v>59</v>
      </c>
      <c r="S780" s="3" t="s">
        <v>59</v>
      </c>
      <c r="T780" s="3" t="s">
        <v>59</v>
      </c>
      <c r="U780" s="3" t="s">
        <v>59</v>
      </c>
      <c r="V780" s="3" t="s">
        <v>59</v>
      </c>
      <c r="W780" s="3" t="s">
        <v>59</v>
      </c>
      <c r="X780" s="3" t="s">
        <v>59</v>
      </c>
      <c r="Y780" s="3" t="s">
        <v>59</v>
      </c>
    </row>
    <row r="781" spans="1:25" hidden="1" x14ac:dyDescent="0.3">
      <c r="A781" s="1">
        <v>513</v>
      </c>
      <c r="B781" s="1" t="s">
        <v>1032</v>
      </c>
      <c r="C781" s="1" t="s">
        <v>26</v>
      </c>
      <c r="D781" s="1" t="s">
        <v>810</v>
      </c>
      <c r="E781" s="1" t="s">
        <v>28</v>
      </c>
      <c r="F781" s="1" t="s">
        <v>36</v>
      </c>
      <c r="G781" s="1" t="s">
        <v>30</v>
      </c>
      <c r="H781" s="1" t="s">
        <v>31</v>
      </c>
      <c r="I781" s="1" t="s">
        <v>117</v>
      </c>
      <c r="J781" s="1" t="s">
        <v>1033</v>
      </c>
      <c r="K781" s="1" t="s">
        <v>33</v>
      </c>
      <c r="L781" s="1" t="s">
        <v>33</v>
      </c>
      <c r="M781" s="1" t="s">
        <v>34</v>
      </c>
      <c r="N781" s="3" t="s">
        <v>59</v>
      </c>
      <c r="O781" s="3" t="s">
        <v>59</v>
      </c>
      <c r="P781" s="8">
        <v>100</v>
      </c>
      <c r="Q781" s="8">
        <v>100</v>
      </c>
      <c r="R781" s="3"/>
      <c r="S781" s="3"/>
      <c r="T781" s="3"/>
      <c r="U781" s="3"/>
      <c r="V781" s="3"/>
      <c r="W781" s="3"/>
      <c r="X781" s="3"/>
      <c r="Y781" s="3"/>
    </row>
    <row r="782" spans="1:25" hidden="1" x14ac:dyDescent="0.3">
      <c r="A782" s="1">
        <v>518</v>
      </c>
      <c r="B782" s="1" t="s">
        <v>1040</v>
      </c>
      <c r="C782" s="1" t="s">
        <v>47</v>
      </c>
      <c r="D782" s="1" t="s">
        <v>91</v>
      </c>
      <c r="E782" s="1" t="s">
        <v>28</v>
      </c>
      <c r="F782" s="1" t="s">
        <v>36</v>
      </c>
      <c r="G782" s="1" t="s">
        <v>30</v>
      </c>
      <c r="H782" s="1" t="s">
        <v>31</v>
      </c>
      <c r="I782" s="1">
        <v>100</v>
      </c>
      <c r="J782" s="1" t="s">
        <v>1041</v>
      </c>
      <c r="K782" s="1" t="s">
        <v>33</v>
      </c>
      <c r="L782" s="1" t="s">
        <v>33</v>
      </c>
      <c r="M782" s="1" t="s">
        <v>34</v>
      </c>
      <c r="N782" s="5">
        <v>137.5</v>
      </c>
      <c r="O782" s="5">
        <v>120</v>
      </c>
      <c r="P782" s="6">
        <v>87.5</v>
      </c>
      <c r="Q782" s="6">
        <v>83.333333333333002</v>
      </c>
      <c r="R782" s="3"/>
    </row>
    <row r="783" spans="1:25" hidden="1" x14ac:dyDescent="0.3">
      <c r="A783" s="1">
        <v>526</v>
      </c>
      <c r="B783" s="1" t="s">
        <v>1068</v>
      </c>
      <c r="C783" s="1" t="s">
        <v>26</v>
      </c>
      <c r="D783" s="1" t="s">
        <v>400</v>
      </c>
      <c r="E783" s="1" t="s">
        <v>28</v>
      </c>
      <c r="F783" s="1" t="s">
        <v>36</v>
      </c>
      <c r="G783" s="1" t="s">
        <v>30</v>
      </c>
      <c r="H783" s="1" t="s">
        <v>31</v>
      </c>
      <c r="I783" s="1">
        <v>85</v>
      </c>
      <c r="J783" s="1" t="s">
        <v>1069</v>
      </c>
      <c r="K783" s="1" t="s">
        <v>33</v>
      </c>
      <c r="L783" s="1" t="s">
        <v>33</v>
      </c>
      <c r="M783" s="1" t="s">
        <v>34</v>
      </c>
      <c r="N783" s="3"/>
      <c r="O783" s="5">
        <v>96.6</v>
      </c>
      <c r="P783" s="3" t="s">
        <v>59</v>
      </c>
      <c r="Q783" s="3"/>
      <c r="R783" s="3"/>
      <c r="S783" s="3"/>
      <c r="T783" s="3"/>
      <c r="U783" s="3"/>
      <c r="V783" s="3"/>
      <c r="W783" s="3"/>
      <c r="X783" s="3"/>
      <c r="Y783" s="3"/>
    </row>
    <row r="784" spans="1:25" hidden="1" x14ac:dyDescent="0.3">
      <c r="A784" s="1">
        <v>529</v>
      </c>
      <c r="B784" s="1" t="s">
        <v>1074</v>
      </c>
      <c r="C784" s="1" t="s">
        <v>26</v>
      </c>
      <c r="D784" s="1" t="s">
        <v>86</v>
      </c>
      <c r="E784" s="1" t="s">
        <v>40</v>
      </c>
      <c r="F784" s="1" t="s">
        <v>36</v>
      </c>
      <c r="G784" s="1" t="s">
        <v>30</v>
      </c>
      <c r="H784" s="1" t="s">
        <v>153</v>
      </c>
      <c r="I784" s="1">
        <v>90</v>
      </c>
      <c r="J784" s="1" t="s">
        <v>1075</v>
      </c>
      <c r="K784" s="1" t="s">
        <v>155</v>
      </c>
      <c r="L784" s="1" t="s">
        <v>34</v>
      </c>
      <c r="M784" s="1" t="s">
        <v>34</v>
      </c>
      <c r="N784" s="5">
        <v>97.97</v>
      </c>
      <c r="O784" s="5">
        <v>196.19</v>
      </c>
      <c r="P784" s="3" t="s">
        <v>59</v>
      </c>
      <c r="Q784" s="3" t="s">
        <v>59</v>
      </c>
      <c r="R784" s="3" t="s">
        <v>59</v>
      </c>
      <c r="S784" s="3" t="s">
        <v>59</v>
      </c>
      <c r="T784" s="3" t="s">
        <v>59</v>
      </c>
      <c r="U784" s="3" t="s">
        <v>59</v>
      </c>
      <c r="V784" s="3" t="s">
        <v>59</v>
      </c>
      <c r="W784" s="3" t="s">
        <v>59</v>
      </c>
      <c r="X784" s="3"/>
      <c r="Y784" s="3" t="s">
        <v>59</v>
      </c>
    </row>
    <row r="785" spans="1:25" hidden="1" x14ac:dyDescent="0.3">
      <c r="A785">
        <v>529</v>
      </c>
      <c r="B785" t="s">
        <v>1074</v>
      </c>
      <c r="C785" t="s">
        <v>26</v>
      </c>
      <c r="D785" t="s">
        <v>86</v>
      </c>
      <c r="E785" t="s">
        <v>40</v>
      </c>
      <c r="F785" t="s">
        <v>36</v>
      </c>
      <c r="G785" t="s">
        <v>30</v>
      </c>
      <c r="H785" t="s">
        <v>153</v>
      </c>
      <c r="I785">
        <v>90</v>
      </c>
      <c r="J785" t="s">
        <v>1075</v>
      </c>
      <c r="K785" t="s">
        <v>155</v>
      </c>
      <c r="L785" t="s">
        <v>226</v>
      </c>
      <c r="M785" t="s">
        <v>227</v>
      </c>
      <c r="N785" s="3">
        <v>96</v>
      </c>
      <c r="O785" s="3">
        <v>96.19</v>
      </c>
      <c r="P785" s="3" t="s">
        <v>59</v>
      </c>
      <c r="Q785" s="3" t="s">
        <v>59</v>
      </c>
      <c r="R785" s="3" t="s">
        <v>59</v>
      </c>
      <c r="S785" s="3" t="s">
        <v>59</v>
      </c>
      <c r="T785" s="3" t="s">
        <v>59</v>
      </c>
      <c r="U785" s="3" t="s">
        <v>59</v>
      </c>
      <c r="V785" s="3" t="s">
        <v>59</v>
      </c>
      <c r="W785" s="3" t="s">
        <v>59</v>
      </c>
      <c r="X785" s="3" t="s">
        <v>59</v>
      </c>
      <c r="Y785" s="3" t="s">
        <v>59</v>
      </c>
    </row>
    <row r="786" spans="1:25" hidden="1" x14ac:dyDescent="0.3">
      <c r="A786">
        <v>529</v>
      </c>
      <c r="B786" t="s">
        <v>1074</v>
      </c>
      <c r="C786" t="s">
        <v>26</v>
      </c>
      <c r="D786" t="s">
        <v>86</v>
      </c>
      <c r="E786" t="s">
        <v>40</v>
      </c>
      <c r="F786" t="s">
        <v>36</v>
      </c>
      <c r="G786" t="s">
        <v>30</v>
      </c>
      <c r="H786" t="s">
        <v>153</v>
      </c>
      <c r="I786">
        <v>90</v>
      </c>
      <c r="J786" t="s">
        <v>1075</v>
      </c>
      <c r="K786" t="s">
        <v>155</v>
      </c>
      <c r="L786" t="s">
        <v>228</v>
      </c>
      <c r="M786" t="s">
        <v>229</v>
      </c>
      <c r="N786" s="3">
        <v>98.98</v>
      </c>
      <c r="O786" s="3">
        <v>100</v>
      </c>
      <c r="P786" s="3" t="s">
        <v>59</v>
      </c>
      <c r="Q786" s="3" t="s">
        <v>59</v>
      </c>
      <c r="R786" s="3" t="s">
        <v>59</v>
      </c>
      <c r="S786" s="3" t="s">
        <v>59</v>
      </c>
      <c r="T786" s="3" t="s">
        <v>59</v>
      </c>
      <c r="U786" s="3" t="s">
        <v>59</v>
      </c>
      <c r="V786" s="3" t="s">
        <v>59</v>
      </c>
      <c r="W786" s="3" t="s">
        <v>59</v>
      </c>
      <c r="X786" s="3" t="s">
        <v>59</v>
      </c>
      <c r="Y786" s="3" t="s">
        <v>59</v>
      </c>
    </row>
  </sheetData>
  <sheetProtection formatCells="0" formatColumns="0" formatRows="0" insertColumns="0" insertRows="0" insertHyperlinks="0" deleteColumns="0" deleteRows="0" sort="0" autoFilter="0" pivotTables="0"/>
  <autoFilter ref="A1:Y786" xr:uid="{69DEF77A-E506-4471-8935-B3BC88D629C9}">
    <filterColumn colId="0">
      <filters>
        <filter val="495"/>
      </filters>
    </filterColumn>
  </autoFilter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A0A1-9BF9-429B-8551-A92A07A2B5F1}">
  <sheetPr filterMode="1"/>
  <dimension ref="A1:AA298"/>
  <sheetViews>
    <sheetView showRuler="0" topLeftCell="A229" zoomScaleNormal="100" workbookViewId="0">
      <selection activeCell="G65" sqref="G65:G298"/>
    </sheetView>
  </sheetViews>
  <sheetFormatPr baseColWidth="10" defaultRowHeight="14.4" x14ac:dyDescent="0.3"/>
  <cols>
    <col min="1" max="25" width="9.109375" customWidth="1"/>
    <col min="26" max="256" width="8.88671875" customWidth="1"/>
  </cols>
  <sheetData>
    <row r="1" spans="1:2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1169</v>
      </c>
      <c r="AA1" s="2" t="s">
        <v>1170</v>
      </c>
    </row>
    <row r="2" spans="1:27" hidden="1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  <c r="Z2">
        <f>VLOOKUP(A2,[1]Worksheet!$A$1:$A$510,1,0)</f>
        <v>84</v>
      </c>
      <c r="AA2">
        <f t="shared" ref="AA2:AA65" si="0">IF(A2=A1,0,1)</f>
        <v>1</v>
      </c>
    </row>
    <row r="3" spans="1:27" hidden="1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  <c r="Z3">
        <f>VLOOKUP(A3,[1]Worksheet!$A$1:$A$510,1,0)</f>
        <v>85</v>
      </c>
      <c r="AA3">
        <f t="shared" si="0"/>
        <v>1</v>
      </c>
    </row>
    <row r="4" spans="1:27" hidden="1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  <c r="Z4">
        <f>VLOOKUP(A4,[1]Worksheet!$A$1:$A$510,1,0)</f>
        <v>87</v>
      </c>
      <c r="AA4">
        <f t="shared" si="0"/>
        <v>1</v>
      </c>
    </row>
    <row r="5" spans="1:27" hidden="1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  <c r="Z5">
        <f>VLOOKUP(A5,[1]Worksheet!$A$1:$A$510,1,0)</f>
        <v>88</v>
      </c>
      <c r="AA5">
        <f t="shared" si="0"/>
        <v>1</v>
      </c>
    </row>
    <row r="6" spans="1:27" hidden="1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  <c r="Z6">
        <f>VLOOKUP(A6,[1]Worksheet!$A$1:$A$510,1,0)</f>
        <v>89</v>
      </c>
      <c r="AA6">
        <f t="shared" si="0"/>
        <v>1</v>
      </c>
    </row>
    <row r="7" spans="1:27" hidden="1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  <c r="Z7">
        <f>VLOOKUP(A7,[1]Worksheet!$A$1:$A$510,1,0)</f>
        <v>90</v>
      </c>
      <c r="AA7">
        <f t="shared" si="0"/>
        <v>1</v>
      </c>
    </row>
    <row r="8" spans="1:27" hidden="1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  <c r="Z8">
        <f>VLOOKUP(A8,[1]Worksheet!$A$1:$A$510,1,0)</f>
        <v>91</v>
      </c>
      <c r="AA8">
        <f t="shared" si="0"/>
        <v>1</v>
      </c>
    </row>
    <row r="9" spans="1:27" hidden="1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  <c r="Z9">
        <f>VLOOKUP(A9,[1]Worksheet!$A$1:$A$510,1,0)</f>
        <v>92</v>
      </c>
      <c r="AA9">
        <f t="shared" si="0"/>
        <v>1</v>
      </c>
    </row>
    <row r="10" spans="1:27" hidden="1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  <c r="Z10">
        <f>VLOOKUP(A10,[1]Worksheet!$A$1:$A$510,1,0)</f>
        <v>94</v>
      </c>
      <c r="AA10">
        <f t="shared" si="0"/>
        <v>1</v>
      </c>
    </row>
    <row r="11" spans="1:27" hidden="1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  <c r="Z11">
        <f>VLOOKUP(A11,[1]Worksheet!$A$1:$A$510,1,0)</f>
        <v>100</v>
      </c>
      <c r="AA11">
        <f t="shared" si="0"/>
        <v>1</v>
      </c>
    </row>
    <row r="12" spans="1:27" hidden="1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  <c r="Z12">
        <f>VLOOKUP(A12,[1]Worksheet!$A$1:$A$510,1,0)</f>
        <v>104</v>
      </c>
      <c r="AA12">
        <f t="shared" si="0"/>
        <v>1</v>
      </c>
    </row>
    <row r="13" spans="1:27" hidden="1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  <c r="Z13">
        <f>VLOOKUP(A13,[1]Worksheet!$A$1:$A$510,1,0)</f>
        <v>106</v>
      </c>
      <c r="AA13">
        <f t="shared" si="0"/>
        <v>1</v>
      </c>
    </row>
    <row r="14" spans="1:27" hidden="1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  <c r="Z14">
        <f>VLOOKUP(A14,[1]Worksheet!$A$1:$A$510,1,0)</f>
        <v>109</v>
      </c>
      <c r="AA14">
        <f t="shared" si="0"/>
        <v>1</v>
      </c>
    </row>
    <row r="15" spans="1:27" hidden="1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  <c r="Z15">
        <f>VLOOKUP(A15,[1]Worksheet!$A$1:$A$510,1,0)</f>
        <v>112</v>
      </c>
      <c r="AA15">
        <f t="shared" si="0"/>
        <v>1</v>
      </c>
    </row>
    <row r="16" spans="1:27" hidden="1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  <c r="Z16">
        <f>VLOOKUP(A16,[1]Worksheet!$A$1:$A$510,1,0)</f>
        <v>113</v>
      </c>
      <c r="AA16">
        <f t="shared" si="0"/>
        <v>1</v>
      </c>
    </row>
    <row r="17" spans="1:27" hidden="1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  <c r="Z17">
        <f>VLOOKUP(A17,[1]Worksheet!$A$1:$A$510,1,0)</f>
        <v>114</v>
      </c>
      <c r="AA17">
        <f t="shared" si="0"/>
        <v>1</v>
      </c>
    </row>
    <row r="18" spans="1:27" hidden="1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  <c r="Z18">
        <f>VLOOKUP(A18,[1]Worksheet!$A$1:$A$510,1,0)</f>
        <v>115</v>
      </c>
      <c r="AA18">
        <f t="shared" si="0"/>
        <v>1</v>
      </c>
    </row>
    <row r="19" spans="1:27" hidden="1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  <c r="Z19">
        <f>VLOOKUP(A19,[1]Worksheet!$A$1:$A$510,1,0)</f>
        <v>116</v>
      </c>
      <c r="AA19">
        <f t="shared" si="0"/>
        <v>1</v>
      </c>
    </row>
    <row r="20" spans="1:27" hidden="1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  <c r="Z20">
        <f>VLOOKUP(A20,[1]Worksheet!$A$1:$A$510,1,0)</f>
        <v>117</v>
      </c>
      <c r="AA20">
        <f t="shared" si="0"/>
        <v>1</v>
      </c>
    </row>
    <row r="21" spans="1:27" hidden="1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  <c r="Z21">
        <f>VLOOKUP(A21,[1]Worksheet!$A$1:$A$510,1,0)</f>
        <v>118</v>
      </c>
      <c r="AA21">
        <f t="shared" si="0"/>
        <v>1</v>
      </c>
    </row>
    <row r="22" spans="1:27" hidden="1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  <c r="Z22">
        <f>VLOOKUP(A22,[1]Worksheet!$A$1:$A$510,1,0)</f>
        <v>126</v>
      </c>
      <c r="AA22">
        <f t="shared" si="0"/>
        <v>1</v>
      </c>
    </row>
    <row r="23" spans="1:27" hidden="1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  <c r="Z23">
        <f>VLOOKUP(A23,[1]Worksheet!$A$1:$A$510,1,0)</f>
        <v>127</v>
      </c>
      <c r="AA23">
        <f t="shared" si="0"/>
        <v>1</v>
      </c>
    </row>
    <row r="24" spans="1:27" hidden="1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  <c r="Z24">
        <f>VLOOKUP(A24,[1]Worksheet!$A$1:$A$510,1,0)</f>
        <v>133</v>
      </c>
      <c r="AA24">
        <f t="shared" si="0"/>
        <v>1</v>
      </c>
    </row>
    <row r="25" spans="1:27" hidden="1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  <c r="Z25">
        <f>VLOOKUP(A25,[1]Worksheet!$A$1:$A$510,1,0)</f>
        <v>144</v>
      </c>
      <c r="AA25">
        <f t="shared" si="0"/>
        <v>1</v>
      </c>
    </row>
    <row r="26" spans="1:27" hidden="1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  <c r="Z26">
        <f>VLOOKUP(A26,[1]Worksheet!$A$1:$A$510,1,0)</f>
        <v>147</v>
      </c>
      <c r="AA26">
        <f t="shared" si="0"/>
        <v>1</v>
      </c>
    </row>
    <row r="27" spans="1:27" hidden="1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  <c r="Z27">
        <f>VLOOKUP(A27,[1]Worksheet!$A$1:$A$510,1,0)</f>
        <v>150</v>
      </c>
      <c r="AA27">
        <f t="shared" si="0"/>
        <v>1</v>
      </c>
    </row>
    <row r="28" spans="1:27" hidden="1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  <c r="Z28">
        <f>VLOOKUP(A28,[1]Worksheet!$A$1:$A$510,1,0)</f>
        <v>151</v>
      </c>
      <c r="AA28">
        <f t="shared" si="0"/>
        <v>1</v>
      </c>
    </row>
    <row r="29" spans="1:27" hidden="1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  <c r="Z29">
        <f>VLOOKUP(A29,[1]Worksheet!$A$1:$A$510,1,0)</f>
        <v>200</v>
      </c>
      <c r="AA29">
        <f t="shared" si="0"/>
        <v>1</v>
      </c>
    </row>
    <row r="30" spans="1:27" hidden="1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  <c r="Z30">
        <f>VLOOKUP(A30,[1]Worksheet!$A$1:$A$510,1,0)</f>
        <v>202</v>
      </c>
      <c r="AA30">
        <f t="shared" si="0"/>
        <v>1</v>
      </c>
    </row>
    <row r="31" spans="1:27" hidden="1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  <c r="Z31">
        <f>VLOOKUP(A31,[1]Worksheet!$A$1:$A$510,1,0)</f>
        <v>206</v>
      </c>
      <c r="AA31">
        <f t="shared" si="0"/>
        <v>1</v>
      </c>
    </row>
    <row r="32" spans="1:27" hidden="1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Z32">
        <f>VLOOKUP(A32,[1]Worksheet!$A$1:$A$510,1,0)</f>
        <v>216</v>
      </c>
      <c r="AA32">
        <f t="shared" si="0"/>
        <v>1</v>
      </c>
    </row>
    <row r="33" spans="1:27" hidden="1" x14ac:dyDescent="0.3">
      <c r="A33" s="1">
        <v>221</v>
      </c>
      <c r="B33" s="1" t="s">
        <v>219</v>
      </c>
      <c r="C33" s="1" t="s">
        <v>26</v>
      </c>
      <c r="D33" s="1" t="s">
        <v>93</v>
      </c>
      <c r="E33" s="1" t="s">
        <v>40</v>
      </c>
      <c r="F33" s="1" t="s">
        <v>53</v>
      </c>
      <c r="G33" s="1" t="s">
        <v>30</v>
      </c>
      <c r="H33" s="1" t="s">
        <v>153</v>
      </c>
      <c r="I33" s="1">
        <v>100</v>
      </c>
      <c r="J33" s="1" t="s">
        <v>220</v>
      </c>
      <c r="K33" s="1" t="s">
        <v>186</v>
      </c>
      <c r="L33" s="1" t="s">
        <v>34</v>
      </c>
      <c r="M33" s="1" t="s">
        <v>34</v>
      </c>
      <c r="N33" s="7">
        <v>27.5</v>
      </c>
      <c r="O33" s="7">
        <v>33.33</v>
      </c>
      <c r="P33" s="4">
        <v>100</v>
      </c>
      <c r="Q33" s="7">
        <v>0</v>
      </c>
      <c r="R33" s="3">
        <v>0</v>
      </c>
      <c r="S33" s="3" t="s">
        <v>59</v>
      </c>
      <c r="T33" s="3"/>
      <c r="U33" s="3"/>
      <c r="V33" s="3"/>
      <c r="W33" s="3"/>
      <c r="X33" s="3"/>
      <c r="Z33">
        <f>VLOOKUP(A33,[1]Worksheet!$A$1:$A$510,1,0)</f>
        <v>221</v>
      </c>
      <c r="AA33">
        <f t="shared" si="0"/>
        <v>1</v>
      </c>
    </row>
    <row r="34" spans="1:27" hidden="1" x14ac:dyDescent="0.3">
      <c r="A34" s="1">
        <v>222</v>
      </c>
      <c r="B34" s="1" t="s">
        <v>221</v>
      </c>
      <c r="C34" s="1" t="s">
        <v>26</v>
      </c>
      <c r="D34" s="1" t="s">
        <v>93</v>
      </c>
      <c r="E34" s="1" t="s">
        <v>40</v>
      </c>
      <c r="F34" s="1" t="s">
        <v>53</v>
      </c>
      <c r="G34" s="1" t="s">
        <v>30</v>
      </c>
      <c r="H34" s="1" t="s">
        <v>153</v>
      </c>
      <c r="I34" s="1">
        <v>90</v>
      </c>
      <c r="J34" s="1" t="s">
        <v>222</v>
      </c>
      <c r="K34" s="1" t="s">
        <v>223</v>
      </c>
      <c r="L34" s="1" t="s">
        <v>34</v>
      </c>
      <c r="M34" s="1" t="s">
        <v>34</v>
      </c>
      <c r="N34" s="7">
        <v>68.75</v>
      </c>
      <c r="O34" s="7">
        <v>68.75</v>
      </c>
      <c r="P34" s="7">
        <v>68.75</v>
      </c>
      <c r="Q34" s="4">
        <v>93.75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Z34">
        <f>VLOOKUP(A34,[1]Worksheet!$A$1:$A$510,1,0)</f>
        <v>222</v>
      </c>
      <c r="AA34">
        <f t="shared" si="0"/>
        <v>1</v>
      </c>
    </row>
    <row r="35" spans="1:27" hidden="1" x14ac:dyDescent="0.3">
      <c r="A35" s="1">
        <v>223</v>
      </c>
      <c r="B35" s="1" t="s">
        <v>224</v>
      </c>
      <c r="C35" s="1" t="s">
        <v>26</v>
      </c>
      <c r="D35" s="1" t="s">
        <v>93</v>
      </c>
      <c r="E35" s="1" t="s">
        <v>28</v>
      </c>
      <c r="F35" s="1" t="s">
        <v>53</v>
      </c>
      <c r="G35" s="1" t="s">
        <v>30</v>
      </c>
      <c r="H35" s="1" t="s">
        <v>153</v>
      </c>
      <c r="I35" s="1">
        <v>100</v>
      </c>
      <c r="J35" s="1" t="s">
        <v>225</v>
      </c>
      <c r="K35" s="1" t="s">
        <v>155</v>
      </c>
      <c r="L35" s="1" t="s">
        <v>34</v>
      </c>
      <c r="M35" s="1" t="s">
        <v>34</v>
      </c>
      <c r="N35" s="3"/>
      <c r="O35" s="6">
        <v>94.12</v>
      </c>
      <c r="P35" s="4">
        <v>100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Z35">
        <f>VLOOKUP(A35,[1]Worksheet!$A$1:$A$510,1,0)</f>
        <v>223</v>
      </c>
      <c r="AA35">
        <f t="shared" si="0"/>
        <v>1</v>
      </c>
    </row>
    <row r="36" spans="1:27" hidden="1" x14ac:dyDescent="0.3">
      <c r="A36" s="1">
        <v>224</v>
      </c>
      <c r="B36" s="1" t="s">
        <v>230</v>
      </c>
      <c r="C36" s="1" t="s">
        <v>26</v>
      </c>
      <c r="D36" s="1" t="s">
        <v>93</v>
      </c>
      <c r="E36" s="1" t="s">
        <v>40</v>
      </c>
      <c r="F36" s="1" t="s">
        <v>53</v>
      </c>
      <c r="G36" s="1" t="s">
        <v>30</v>
      </c>
      <c r="H36" s="1" t="s">
        <v>153</v>
      </c>
      <c r="I36" s="1">
        <v>100</v>
      </c>
      <c r="J36" s="1" t="s">
        <v>231</v>
      </c>
      <c r="K36" s="1" t="s">
        <v>155</v>
      </c>
      <c r="L36" s="1" t="s">
        <v>34</v>
      </c>
      <c r="M36" s="1" t="s">
        <v>34</v>
      </c>
      <c r="N36" s="4">
        <v>100</v>
      </c>
      <c r="O36" s="4">
        <v>100</v>
      </c>
      <c r="P36" s="7">
        <v>40</v>
      </c>
      <c r="Q36" s="7">
        <v>71.428571428571431</v>
      </c>
      <c r="R36" s="3"/>
      <c r="S36" s="3"/>
      <c r="T36" s="3"/>
      <c r="U36" s="3"/>
      <c r="V36" s="3"/>
      <c r="W36" s="3"/>
      <c r="X36" s="3"/>
      <c r="Z36">
        <f>VLOOKUP(A36,[1]Worksheet!$A$1:$A$510,1,0)</f>
        <v>224</v>
      </c>
      <c r="AA36">
        <f t="shared" si="0"/>
        <v>1</v>
      </c>
    </row>
    <row r="37" spans="1:27" hidden="1" x14ac:dyDescent="0.3">
      <c r="A37" s="1">
        <v>226</v>
      </c>
      <c r="B37" s="1" t="s">
        <v>234</v>
      </c>
      <c r="C37" s="1" t="s">
        <v>26</v>
      </c>
      <c r="D37" s="1" t="s">
        <v>93</v>
      </c>
      <c r="E37" s="1" t="s">
        <v>40</v>
      </c>
      <c r="F37" s="1" t="s">
        <v>53</v>
      </c>
      <c r="G37" s="1" t="s">
        <v>30</v>
      </c>
      <c r="H37" s="1" t="s">
        <v>153</v>
      </c>
      <c r="I37" s="1">
        <v>2</v>
      </c>
      <c r="J37" s="1" t="s">
        <v>235</v>
      </c>
      <c r="K37" s="1" t="s">
        <v>223</v>
      </c>
      <c r="L37" s="1" t="s">
        <v>34</v>
      </c>
      <c r="M37" s="1" t="s">
        <v>34</v>
      </c>
      <c r="N37" s="3"/>
      <c r="O37" s="5">
        <v>3531.11</v>
      </c>
      <c r="P37" s="5">
        <v>622.69000000000005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3">
        <v>0</v>
      </c>
      <c r="W37" s="3">
        <v>0</v>
      </c>
      <c r="X37" s="3">
        <v>0</v>
      </c>
      <c r="Z37">
        <f>VLOOKUP(A37,[1]Worksheet!$A$1:$A$510,1,0)</f>
        <v>226</v>
      </c>
      <c r="AA37">
        <f t="shared" si="0"/>
        <v>1</v>
      </c>
    </row>
    <row r="38" spans="1:27" hidden="1" x14ac:dyDescent="0.3">
      <c r="A38" s="1">
        <v>227</v>
      </c>
      <c r="B38" s="1" t="s">
        <v>236</v>
      </c>
      <c r="C38" s="1" t="s">
        <v>26</v>
      </c>
      <c r="D38" s="1" t="s">
        <v>93</v>
      </c>
      <c r="E38" s="1" t="s">
        <v>40</v>
      </c>
      <c r="F38" s="1" t="s">
        <v>53</v>
      </c>
      <c r="G38" s="1" t="s">
        <v>41</v>
      </c>
      <c r="H38" s="1" t="s">
        <v>153</v>
      </c>
      <c r="I38" s="1">
        <v>0.3</v>
      </c>
      <c r="J38" s="1" t="s">
        <v>237</v>
      </c>
      <c r="K38" s="1" t="s">
        <v>223</v>
      </c>
      <c r="L38" s="1" t="s">
        <v>34</v>
      </c>
      <c r="M38" s="1" t="s">
        <v>34</v>
      </c>
      <c r="N38" s="3"/>
      <c r="O38" s="7">
        <v>3531.11</v>
      </c>
      <c r="P38" s="5">
        <v>0.01</v>
      </c>
      <c r="Q38" s="5">
        <v>0.01</v>
      </c>
      <c r="R38" s="5">
        <v>0</v>
      </c>
      <c r="S38" s="5">
        <v>0</v>
      </c>
      <c r="T38" s="5">
        <v>0</v>
      </c>
      <c r="U38" s="5">
        <v>0</v>
      </c>
      <c r="V38" s="3">
        <v>0</v>
      </c>
      <c r="W38" s="3">
        <v>0</v>
      </c>
      <c r="X38" s="3">
        <v>0</v>
      </c>
      <c r="Z38">
        <f>VLOOKUP(A38,[1]Worksheet!$A$1:$A$510,1,0)</f>
        <v>227</v>
      </c>
      <c r="AA38">
        <f t="shared" si="0"/>
        <v>1</v>
      </c>
    </row>
    <row r="39" spans="1:27" hidden="1" x14ac:dyDescent="0.3">
      <c r="A39" s="1">
        <v>228</v>
      </c>
      <c r="B39" s="1" t="s">
        <v>238</v>
      </c>
      <c r="C39" s="1" t="s">
        <v>26</v>
      </c>
      <c r="D39" s="1" t="s">
        <v>93</v>
      </c>
      <c r="E39" s="1" t="s">
        <v>28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239</v>
      </c>
      <c r="K39" s="1" t="s">
        <v>155</v>
      </c>
      <c r="L39" s="1" t="s">
        <v>34</v>
      </c>
      <c r="M39" s="1" t="s">
        <v>34</v>
      </c>
      <c r="N39" s="3"/>
      <c r="O39" s="5">
        <v>3531.11</v>
      </c>
      <c r="P39" s="4">
        <v>100</v>
      </c>
      <c r="Q39" s="5">
        <v>100.10703267644649</v>
      </c>
      <c r="R39" s="5">
        <v>137.43493771565591</v>
      </c>
      <c r="S39" s="5">
        <v>100.2620959354329</v>
      </c>
      <c r="T39" s="7">
        <v>53.144860837168537</v>
      </c>
      <c r="U39" s="5">
        <v>100.1169248757673</v>
      </c>
      <c r="V39" s="3">
        <v>0</v>
      </c>
      <c r="W39" s="3">
        <v>0</v>
      </c>
      <c r="X39" s="3">
        <v>0</v>
      </c>
      <c r="Z39">
        <f>VLOOKUP(A39,[1]Worksheet!$A$1:$A$510,1,0)</f>
        <v>228</v>
      </c>
      <c r="AA39">
        <f t="shared" si="0"/>
        <v>1</v>
      </c>
    </row>
    <row r="40" spans="1:27" hidden="1" x14ac:dyDescent="0.3">
      <c r="A40" s="1">
        <v>235</v>
      </c>
      <c r="B40" s="1" t="s">
        <v>250</v>
      </c>
      <c r="C40" s="1" t="s">
        <v>26</v>
      </c>
      <c r="D40" s="1" t="s">
        <v>93</v>
      </c>
      <c r="E40" s="1" t="s">
        <v>28</v>
      </c>
      <c r="F40" s="1" t="s">
        <v>53</v>
      </c>
      <c r="G40" s="1" t="s">
        <v>30</v>
      </c>
      <c r="H40" s="1" t="s">
        <v>31</v>
      </c>
      <c r="I40" s="1">
        <v>100</v>
      </c>
      <c r="J40" s="1" t="s">
        <v>251</v>
      </c>
      <c r="K40" s="1" t="s">
        <v>33</v>
      </c>
      <c r="L40" s="1" t="s">
        <v>33</v>
      </c>
      <c r="M40" s="1" t="s">
        <v>34</v>
      </c>
      <c r="N40" s="3"/>
      <c r="O40" s="6">
        <v>92.012779552715998</v>
      </c>
      <c r="P40" s="6">
        <v>81.652892561982995</v>
      </c>
      <c r="Q40" s="3"/>
      <c r="R40" s="3"/>
      <c r="S40" s="3"/>
      <c r="T40" s="3"/>
      <c r="U40" s="3"/>
      <c r="V40" s="3"/>
      <c r="W40" s="3"/>
      <c r="X40" s="3"/>
      <c r="Y40" s="3"/>
      <c r="Z40">
        <f>VLOOKUP(A40,[1]Worksheet!$A$1:$A$510,1,0)</f>
        <v>235</v>
      </c>
      <c r="AA40">
        <f t="shared" si="0"/>
        <v>1</v>
      </c>
    </row>
    <row r="41" spans="1:27" hidden="1" x14ac:dyDescent="0.3">
      <c r="A41" s="1">
        <v>236</v>
      </c>
      <c r="B41" s="1" t="s">
        <v>252</v>
      </c>
      <c r="C41" s="1" t="s">
        <v>26</v>
      </c>
      <c r="D41" s="1" t="s">
        <v>93</v>
      </c>
      <c r="E41" s="1" t="s">
        <v>28</v>
      </c>
      <c r="F41" s="1" t="s">
        <v>53</v>
      </c>
      <c r="G41" s="1" t="s">
        <v>41</v>
      </c>
      <c r="H41" s="1" t="s">
        <v>31</v>
      </c>
      <c r="I41" s="1">
        <v>0</v>
      </c>
      <c r="J41" s="1" t="s">
        <v>253</v>
      </c>
      <c r="K41" s="1" t="s">
        <v>33</v>
      </c>
      <c r="L41" s="1" t="s">
        <v>33</v>
      </c>
      <c r="M41" s="1" t="s">
        <v>34</v>
      </c>
      <c r="N41" s="3"/>
      <c r="O41" s="4">
        <v>0</v>
      </c>
      <c r="P41" s="4">
        <v>0</v>
      </c>
      <c r="Q41" s="3"/>
      <c r="R41" s="3"/>
      <c r="S41" s="3"/>
      <c r="T41" s="3"/>
      <c r="U41" s="3"/>
      <c r="V41" s="3"/>
      <c r="W41" s="3"/>
      <c r="X41" s="3"/>
      <c r="Z41">
        <f>VLOOKUP(A41,[1]Worksheet!$A$1:$A$510,1,0)</f>
        <v>236</v>
      </c>
      <c r="AA41">
        <f t="shared" si="0"/>
        <v>1</v>
      </c>
    </row>
    <row r="42" spans="1:27" hidden="1" x14ac:dyDescent="0.3">
      <c r="A42" s="1">
        <v>244</v>
      </c>
      <c r="B42" s="1" t="s">
        <v>289</v>
      </c>
      <c r="C42" s="1" t="s">
        <v>47</v>
      </c>
      <c r="D42" s="1" t="s">
        <v>93</v>
      </c>
      <c r="E42" s="1" t="s">
        <v>28</v>
      </c>
      <c r="F42" s="1" t="s">
        <v>53</v>
      </c>
      <c r="G42" s="1" t="s">
        <v>41</v>
      </c>
      <c r="H42" s="1" t="s">
        <v>31</v>
      </c>
      <c r="I42" s="1">
        <v>25</v>
      </c>
      <c r="J42" s="1" t="s">
        <v>290</v>
      </c>
      <c r="K42" s="1" t="s">
        <v>33</v>
      </c>
      <c r="L42" s="1" t="s">
        <v>33</v>
      </c>
      <c r="M42" s="1" t="s">
        <v>34</v>
      </c>
      <c r="N42" s="5">
        <v>13</v>
      </c>
      <c r="O42" s="4">
        <v>25</v>
      </c>
      <c r="P42" s="4">
        <v>24</v>
      </c>
      <c r="Q42" s="9">
        <v>27</v>
      </c>
      <c r="R42" s="9">
        <v>20</v>
      </c>
      <c r="S42" s="9">
        <v>18</v>
      </c>
      <c r="T42" s="9">
        <v>21</v>
      </c>
      <c r="U42" s="9">
        <v>25</v>
      </c>
      <c r="V42" s="3"/>
      <c r="W42" s="3"/>
      <c r="X42" s="3"/>
      <c r="Z42">
        <f>VLOOKUP(A42,[1]Worksheet!$A$1:$A$510,1,0)</f>
        <v>244</v>
      </c>
      <c r="AA42">
        <f t="shared" si="0"/>
        <v>1</v>
      </c>
    </row>
    <row r="43" spans="1:27" hidden="1" x14ac:dyDescent="0.3">
      <c r="A43" s="1">
        <v>255</v>
      </c>
      <c r="B43" s="1" t="s">
        <v>305</v>
      </c>
      <c r="C43" s="1" t="s">
        <v>47</v>
      </c>
      <c r="D43" s="1" t="s">
        <v>134</v>
      </c>
      <c r="E43" s="1" t="s">
        <v>28</v>
      </c>
      <c r="F43" s="1" t="s">
        <v>53</v>
      </c>
      <c r="G43" s="1" t="s">
        <v>30</v>
      </c>
      <c r="H43" s="1" t="s">
        <v>153</v>
      </c>
      <c r="I43" s="1" t="s">
        <v>117</v>
      </c>
      <c r="J43" s="1" t="s">
        <v>306</v>
      </c>
      <c r="K43" s="1" t="s">
        <v>207</v>
      </c>
      <c r="L43" s="1" t="s">
        <v>34</v>
      </c>
      <c r="M43" s="1" t="s">
        <v>34</v>
      </c>
      <c r="N43" s="3"/>
      <c r="O43" s="8">
        <v>15</v>
      </c>
      <c r="P43" s="8">
        <v>18</v>
      </c>
      <c r="Q43" s="3" t="s">
        <v>59</v>
      </c>
      <c r="R43" s="3" t="s">
        <v>59</v>
      </c>
      <c r="S43" s="3" t="s">
        <v>59</v>
      </c>
      <c r="T43" s="3"/>
      <c r="U43" s="3"/>
      <c r="V43" s="3"/>
      <c r="W43" s="3"/>
      <c r="X43" s="3"/>
      <c r="Z43">
        <f>VLOOKUP(A43,[1]Worksheet!$A$1:$A$510,1,0)</f>
        <v>255</v>
      </c>
      <c r="AA43">
        <f t="shared" si="0"/>
        <v>1</v>
      </c>
    </row>
    <row r="44" spans="1:27" hidden="1" x14ac:dyDescent="0.3">
      <c r="A44" s="1">
        <v>272</v>
      </c>
      <c r="B44" s="1" t="s">
        <v>344</v>
      </c>
      <c r="C44" s="1" t="s">
        <v>47</v>
      </c>
      <c r="D44" s="1" t="s">
        <v>52</v>
      </c>
      <c r="E44" s="1" t="s">
        <v>28</v>
      </c>
      <c r="F44" s="1" t="s">
        <v>53</v>
      </c>
      <c r="G44" s="1" t="s">
        <v>41</v>
      </c>
      <c r="H44" s="1" t="s">
        <v>31</v>
      </c>
      <c r="I44" s="1">
        <v>0</v>
      </c>
      <c r="J44" s="1" t="s">
        <v>345</v>
      </c>
      <c r="K44" s="1" t="s">
        <v>33</v>
      </c>
      <c r="L44" s="1" t="s">
        <v>33</v>
      </c>
      <c r="M44" s="1" t="s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3"/>
      <c r="T44" s="3"/>
      <c r="U44" s="3"/>
      <c r="V44" s="3"/>
      <c r="W44" s="3"/>
      <c r="X44" s="3"/>
      <c r="Z44">
        <f>VLOOKUP(A44,[1]Worksheet!$A$1:$A$510,1,0)</f>
        <v>272</v>
      </c>
      <c r="AA44">
        <f t="shared" si="0"/>
        <v>1</v>
      </c>
    </row>
    <row r="45" spans="1:27" hidden="1" x14ac:dyDescent="0.3">
      <c r="A45" s="1">
        <v>288</v>
      </c>
      <c r="B45" s="1" t="s">
        <v>397</v>
      </c>
      <c r="C45" s="1" t="s">
        <v>26</v>
      </c>
      <c r="D45" s="1" t="s">
        <v>369</v>
      </c>
      <c r="E45" s="1" t="s">
        <v>28</v>
      </c>
      <c r="F45" s="1" t="s">
        <v>53</v>
      </c>
      <c r="G45" s="1" t="s">
        <v>30</v>
      </c>
      <c r="H45" s="1" t="s">
        <v>31</v>
      </c>
      <c r="I45" s="1">
        <v>100</v>
      </c>
      <c r="J45" s="1" t="s">
        <v>398</v>
      </c>
      <c r="K45" s="1" t="s">
        <v>33</v>
      </c>
      <c r="L45" s="1" t="s">
        <v>33</v>
      </c>
      <c r="M45" s="1" t="s">
        <v>34</v>
      </c>
      <c r="N45" s="4">
        <v>100</v>
      </c>
      <c r="O45" s="5">
        <v>185.71428571429001</v>
      </c>
      <c r="P45" s="5">
        <v>112.5</v>
      </c>
      <c r="Q45" s="3"/>
      <c r="R45" s="3"/>
      <c r="S45" s="3"/>
      <c r="T45" s="3"/>
      <c r="U45" s="3"/>
      <c r="V45" s="3"/>
      <c r="W45" s="3"/>
      <c r="X45" s="3"/>
      <c r="Y45" s="3"/>
      <c r="Z45">
        <f>VLOOKUP(A45,[1]Worksheet!$A$1:$A$510,1,0)</f>
        <v>288</v>
      </c>
      <c r="AA45">
        <f t="shared" si="0"/>
        <v>1</v>
      </c>
    </row>
    <row r="46" spans="1:27" hidden="1" x14ac:dyDescent="0.3">
      <c r="A46" s="1">
        <v>318</v>
      </c>
      <c r="B46" s="1" t="s">
        <v>462</v>
      </c>
      <c r="C46" s="1" t="s">
        <v>26</v>
      </c>
      <c r="D46" s="1" t="s">
        <v>112</v>
      </c>
      <c r="E46" s="1" t="s">
        <v>44</v>
      </c>
      <c r="F46" s="1" t="s">
        <v>53</v>
      </c>
      <c r="G46" s="1" t="s">
        <v>30</v>
      </c>
      <c r="H46" s="1" t="s">
        <v>31</v>
      </c>
      <c r="I46" s="1">
        <v>85</v>
      </c>
      <c r="J46" s="1" t="s">
        <v>463</v>
      </c>
      <c r="K46" s="1" t="s">
        <v>33</v>
      </c>
      <c r="L46" s="1" t="s">
        <v>33</v>
      </c>
      <c r="M46" s="1" t="s">
        <v>34</v>
      </c>
      <c r="N46" s="4">
        <v>86.16</v>
      </c>
      <c r="O46" s="5">
        <v>90.28</v>
      </c>
      <c r="P46" s="5">
        <v>90.909090909090907</v>
      </c>
      <c r="Q46" s="3"/>
      <c r="R46" s="3"/>
      <c r="S46" s="3"/>
      <c r="T46" s="3"/>
      <c r="U46" s="3"/>
      <c r="V46" s="3"/>
      <c r="W46" s="3"/>
      <c r="X46" s="3"/>
      <c r="Z46">
        <f>VLOOKUP(A46,[1]Worksheet!$A$1:$A$510,1,0)</f>
        <v>318</v>
      </c>
      <c r="AA46">
        <f t="shared" si="0"/>
        <v>1</v>
      </c>
    </row>
    <row r="47" spans="1:27" hidden="1" x14ac:dyDescent="0.3">
      <c r="A47" s="1">
        <v>326</v>
      </c>
      <c r="B47" s="1" t="s">
        <v>471</v>
      </c>
      <c r="C47" s="1" t="s">
        <v>26</v>
      </c>
      <c r="D47" s="1" t="s">
        <v>347</v>
      </c>
      <c r="E47" s="1" t="s">
        <v>116</v>
      </c>
      <c r="F47" s="1" t="s">
        <v>53</v>
      </c>
      <c r="G47" s="1" t="s">
        <v>30</v>
      </c>
      <c r="H47" s="1" t="s">
        <v>31</v>
      </c>
      <c r="I47" s="1" t="s">
        <v>117</v>
      </c>
      <c r="J47" s="1" t="s">
        <v>472</v>
      </c>
      <c r="K47" s="1" t="s">
        <v>33</v>
      </c>
      <c r="L47" s="1" t="s">
        <v>33</v>
      </c>
      <c r="M47" s="1" t="s">
        <v>34</v>
      </c>
      <c r="N47" s="8">
        <v>100</v>
      </c>
      <c r="O47" s="3" t="s">
        <v>59</v>
      </c>
      <c r="P47" s="8">
        <v>100</v>
      </c>
      <c r="Q47" s="3"/>
      <c r="R47" s="3"/>
      <c r="S47" s="3"/>
      <c r="T47" s="3"/>
      <c r="U47" s="3"/>
      <c r="V47" s="3"/>
      <c r="W47" s="3"/>
      <c r="X47" s="3"/>
      <c r="Z47">
        <f>VLOOKUP(A47,[1]Worksheet!$A$1:$A$510,1,0)</f>
        <v>326</v>
      </c>
      <c r="AA47">
        <f t="shared" si="0"/>
        <v>1</v>
      </c>
    </row>
    <row r="48" spans="1:27" hidden="1" x14ac:dyDescent="0.3">
      <c r="A48" s="1">
        <v>334</v>
      </c>
      <c r="B48" s="1" t="s">
        <v>477</v>
      </c>
      <c r="C48" s="1" t="s">
        <v>26</v>
      </c>
      <c r="D48" s="1" t="s">
        <v>39</v>
      </c>
      <c r="E48" s="1" t="s">
        <v>28</v>
      </c>
      <c r="F48" s="1" t="s">
        <v>53</v>
      </c>
      <c r="G48" s="1" t="s">
        <v>30</v>
      </c>
      <c r="H48" s="1" t="s">
        <v>31</v>
      </c>
      <c r="I48" s="1">
        <v>89</v>
      </c>
      <c r="J48" s="1" t="s">
        <v>478</v>
      </c>
      <c r="K48" s="1" t="s">
        <v>33</v>
      </c>
      <c r="L48" s="1" t="s">
        <v>33</v>
      </c>
      <c r="M48" s="1" t="s">
        <v>34</v>
      </c>
      <c r="N48" s="4">
        <v>90.1</v>
      </c>
      <c r="O48" s="4">
        <v>88.84</v>
      </c>
      <c r="P48" s="4">
        <v>88.39</v>
      </c>
      <c r="Q48" s="9">
        <v>86</v>
      </c>
      <c r="R48" s="3"/>
      <c r="S48" s="3"/>
      <c r="T48" s="3"/>
      <c r="U48" s="3"/>
      <c r="V48" s="3"/>
      <c r="W48" s="3"/>
      <c r="X48" s="3"/>
      <c r="Z48">
        <f>VLOOKUP(A48,[1]Worksheet!$A$1:$A$510,1,0)</f>
        <v>334</v>
      </c>
      <c r="AA48">
        <f t="shared" si="0"/>
        <v>1</v>
      </c>
    </row>
    <row r="49" spans="1:27" hidden="1" x14ac:dyDescent="0.3">
      <c r="A49" s="1">
        <v>336</v>
      </c>
      <c r="B49" s="1" t="s">
        <v>479</v>
      </c>
      <c r="C49" s="1" t="s">
        <v>26</v>
      </c>
      <c r="D49" s="1" t="s">
        <v>132</v>
      </c>
      <c r="E49" s="1" t="s">
        <v>28</v>
      </c>
      <c r="F49" s="1" t="s">
        <v>53</v>
      </c>
      <c r="G49" s="1" t="s">
        <v>41</v>
      </c>
      <c r="H49" s="1" t="s">
        <v>31</v>
      </c>
      <c r="I49" s="1"/>
      <c r="J49" s="1" t="s">
        <v>480</v>
      </c>
      <c r="K49" s="1" t="s">
        <v>33</v>
      </c>
      <c r="L49" s="1" t="s">
        <v>33</v>
      </c>
      <c r="M49" s="1" t="s">
        <v>34</v>
      </c>
      <c r="N49" s="9">
        <v>0.36</v>
      </c>
      <c r="O49" s="5">
        <v>0.79</v>
      </c>
      <c r="P49" s="4">
        <v>1.742198218602321</v>
      </c>
      <c r="Q49" s="3"/>
      <c r="R49" s="3"/>
      <c r="S49" s="3"/>
      <c r="T49" s="3"/>
      <c r="U49" s="3"/>
      <c r="V49" s="3"/>
      <c r="W49" s="3"/>
      <c r="X49" s="3"/>
      <c r="Z49">
        <f>VLOOKUP(A49,[1]Worksheet!$A$1:$A$510,1,0)</f>
        <v>336</v>
      </c>
      <c r="AA49">
        <f t="shared" si="0"/>
        <v>1</v>
      </c>
    </row>
    <row r="50" spans="1:27" hidden="1" x14ac:dyDescent="0.3">
      <c r="A50" s="1">
        <v>339</v>
      </c>
      <c r="B50" s="1" t="s">
        <v>485</v>
      </c>
      <c r="C50" s="1" t="s">
        <v>47</v>
      </c>
      <c r="D50" s="1" t="s">
        <v>486</v>
      </c>
      <c r="E50" s="1" t="s">
        <v>44</v>
      </c>
      <c r="F50" s="1" t="s">
        <v>53</v>
      </c>
      <c r="G50" s="1" t="s">
        <v>30</v>
      </c>
      <c r="H50" s="1" t="s">
        <v>31</v>
      </c>
      <c r="I50" s="1">
        <v>30</v>
      </c>
      <c r="J50" s="1" t="s">
        <v>487</v>
      </c>
      <c r="K50" s="1" t="s">
        <v>33</v>
      </c>
      <c r="L50" s="1" t="s">
        <v>33</v>
      </c>
      <c r="M50" s="1" t="s">
        <v>34</v>
      </c>
      <c r="N50" s="5">
        <v>35.29</v>
      </c>
      <c r="O50" s="4">
        <v>30.3</v>
      </c>
      <c r="P50" s="6">
        <v>28.571428571428569</v>
      </c>
      <c r="Q50" s="3"/>
      <c r="R50" s="3"/>
      <c r="S50" s="3"/>
      <c r="T50" s="3"/>
      <c r="U50" s="3"/>
      <c r="V50" s="3"/>
      <c r="W50" s="3"/>
      <c r="X50" s="3"/>
      <c r="Z50">
        <f>VLOOKUP(A50,[1]Worksheet!$A$1:$A$510,1,0)</f>
        <v>339</v>
      </c>
      <c r="AA50">
        <f t="shared" si="0"/>
        <v>1</v>
      </c>
    </row>
    <row r="51" spans="1:27" hidden="1" x14ac:dyDescent="0.3">
      <c r="A51" s="1">
        <v>346</v>
      </c>
      <c r="B51" s="1" t="s">
        <v>492</v>
      </c>
      <c r="C51" s="1" t="s">
        <v>26</v>
      </c>
      <c r="D51" s="1" t="s">
        <v>39</v>
      </c>
      <c r="E51" s="1" t="s">
        <v>28</v>
      </c>
      <c r="F51" s="1" t="s">
        <v>53</v>
      </c>
      <c r="G51" s="1" t="s">
        <v>30</v>
      </c>
      <c r="H51" s="1" t="s">
        <v>31</v>
      </c>
      <c r="I51" s="1">
        <v>85</v>
      </c>
      <c r="J51" s="1" t="s">
        <v>493</v>
      </c>
      <c r="K51" s="1" t="s">
        <v>33</v>
      </c>
      <c r="L51" s="1" t="s">
        <v>33</v>
      </c>
      <c r="M51" s="1" t="s">
        <v>34</v>
      </c>
      <c r="N51" s="5">
        <v>97.28</v>
      </c>
      <c r="O51" s="5">
        <v>91.88</v>
      </c>
      <c r="P51" s="9">
        <v>83.91608391608392</v>
      </c>
      <c r="Q51" s="3"/>
      <c r="R51" s="3"/>
      <c r="S51" s="3"/>
      <c r="T51" s="3"/>
      <c r="U51" s="3"/>
      <c r="V51" s="3"/>
      <c r="W51" s="3"/>
      <c r="X51" s="3"/>
      <c r="Z51">
        <f>VLOOKUP(A51,[1]Worksheet!$A$1:$A$510,1,0)</f>
        <v>346</v>
      </c>
      <c r="AA51">
        <f t="shared" si="0"/>
        <v>1</v>
      </c>
    </row>
    <row r="52" spans="1:27" hidden="1" x14ac:dyDescent="0.3">
      <c r="A52" s="1">
        <v>355</v>
      </c>
      <c r="B52" s="1" t="s">
        <v>503</v>
      </c>
      <c r="C52" s="1" t="s">
        <v>47</v>
      </c>
      <c r="D52" s="1" t="s">
        <v>504</v>
      </c>
      <c r="E52" s="1" t="s">
        <v>40</v>
      </c>
      <c r="F52" s="1" t="s">
        <v>53</v>
      </c>
      <c r="G52" s="1" t="s">
        <v>30</v>
      </c>
      <c r="H52" s="1" t="s">
        <v>31</v>
      </c>
      <c r="I52" s="1"/>
      <c r="J52" s="1" t="s">
        <v>505</v>
      </c>
      <c r="K52" s="1" t="s">
        <v>33</v>
      </c>
      <c r="L52" s="1" t="s">
        <v>33</v>
      </c>
      <c r="M52" s="1" t="s">
        <v>34</v>
      </c>
      <c r="N52" s="9">
        <v>1.56</v>
      </c>
      <c r="O52" s="6">
        <v>1.69</v>
      </c>
      <c r="P52" s="5">
        <v>1.64916004403234</v>
      </c>
      <c r="Q52" s="3"/>
      <c r="R52" s="3"/>
      <c r="S52" s="3"/>
      <c r="T52" s="3"/>
      <c r="U52" s="3"/>
      <c r="V52" s="3"/>
      <c r="W52" s="3"/>
      <c r="X52" s="3"/>
      <c r="Z52">
        <f>VLOOKUP(A52,[1]Worksheet!$A$1:$A$510,1,0)</f>
        <v>355</v>
      </c>
      <c r="AA52">
        <f t="shared" si="0"/>
        <v>1</v>
      </c>
    </row>
    <row r="53" spans="1:27" hidden="1" x14ac:dyDescent="0.3">
      <c r="A53" s="1">
        <v>361</v>
      </c>
      <c r="B53" s="1" t="s">
        <v>515</v>
      </c>
      <c r="C53" s="1" t="s">
        <v>47</v>
      </c>
      <c r="D53" s="1" t="s">
        <v>516</v>
      </c>
      <c r="E53" s="1" t="s">
        <v>28</v>
      </c>
      <c r="F53" s="1" t="s">
        <v>53</v>
      </c>
      <c r="G53" s="1" t="s">
        <v>30</v>
      </c>
      <c r="H53" s="1" t="s">
        <v>31</v>
      </c>
      <c r="I53" s="1">
        <v>4.5999999999999996</v>
      </c>
      <c r="J53" s="1" t="s">
        <v>517</v>
      </c>
      <c r="K53" s="1" t="s">
        <v>33</v>
      </c>
      <c r="L53" s="1" t="s">
        <v>33</v>
      </c>
      <c r="M53" s="1" t="s">
        <v>34</v>
      </c>
      <c r="N53" s="5">
        <v>4.78</v>
      </c>
      <c r="O53" s="3" t="s">
        <v>59</v>
      </c>
      <c r="P53" s="4">
        <v>4.5599999999999996</v>
      </c>
      <c r="Q53" s="3"/>
      <c r="R53" s="3"/>
      <c r="S53" s="3"/>
      <c r="T53" s="3"/>
      <c r="U53" s="3"/>
      <c r="V53" s="3"/>
      <c r="W53" s="3"/>
      <c r="X53" s="3"/>
      <c r="Z53">
        <f>VLOOKUP(A53,[1]Worksheet!$A$1:$A$510,1,0)</f>
        <v>361</v>
      </c>
      <c r="AA53">
        <f t="shared" si="0"/>
        <v>1</v>
      </c>
    </row>
    <row r="54" spans="1:27" hidden="1" x14ac:dyDescent="0.3">
      <c r="A54" s="1">
        <v>366</v>
      </c>
      <c r="B54" s="1" t="s">
        <v>525</v>
      </c>
      <c r="C54" s="1" t="s">
        <v>26</v>
      </c>
      <c r="D54" s="1" t="s">
        <v>519</v>
      </c>
      <c r="E54" s="1" t="s">
        <v>28</v>
      </c>
      <c r="F54" s="1" t="s">
        <v>53</v>
      </c>
      <c r="G54" s="1" t="s">
        <v>30</v>
      </c>
      <c r="H54" s="1" t="s">
        <v>31</v>
      </c>
      <c r="I54" s="1">
        <v>100</v>
      </c>
      <c r="J54" s="1" t="s">
        <v>526</v>
      </c>
      <c r="K54" s="1" t="s">
        <v>33</v>
      </c>
      <c r="L54" s="1" t="s">
        <v>33</v>
      </c>
      <c r="M54" s="1" t="s">
        <v>34</v>
      </c>
      <c r="N54" s="4">
        <v>100</v>
      </c>
      <c r="O54" s="4">
        <v>100</v>
      </c>
      <c r="P54" s="4">
        <v>100</v>
      </c>
      <c r="Q54" s="3"/>
      <c r="R54" s="3"/>
      <c r="S54" s="3"/>
      <c r="T54" s="3"/>
      <c r="U54" s="3"/>
      <c r="V54" s="3"/>
      <c r="W54" s="3"/>
      <c r="X54" s="3"/>
      <c r="Z54">
        <f>VLOOKUP(A54,[1]Worksheet!$A$1:$A$510,1,0)</f>
        <v>366</v>
      </c>
      <c r="AA54">
        <f t="shared" si="0"/>
        <v>1</v>
      </c>
    </row>
    <row r="55" spans="1:27" hidden="1" x14ac:dyDescent="0.3">
      <c r="A55" s="1">
        <v>367</v>
      </c>
      <c r="B55" s="1" t="s">
        <v>527</v>
      </c>
      <c r="C55" s="1" t="s">
        <v>47</v>
      </c>
      <c r="D55" s="1" t="s">
        <v>516</v>
      </c>
      <c r="E55" s="1" t="s">
        <v>28</v>
      </c>
      <c r="F55" s="1" t="s">
        <v>53</v>
      </c>
      <c r="G55" s="1" t="s">
        <v>30</v>
      </c>
      <c r="H55" s="1" t="s">
        <v>31</v>
      </c>
      <c r="I55" s="1">
        <v>5</v>
      </c>
      <c r="J55" s="1" t="s">
        <v>528</v>
      </c>
      <c r="K55" s="1" t="s">
        <v>33</v>
      </c>
      <c r="L55" s="1" t="s">
        <v>33</v>
      </c>
      <c r="M55" s="1" t="s">
        <v>34</v>
      </c>
      <c r="N55" s="7">
        <v>3.82</v>
      </c>
      <c r="O55" s="6">
        <v>4.96</v>
      </c>
      <c r="P55" s="5">
        <v>6.2497567052045619</v>
      </c>
      <c r="Q55" s="3"/>
      <c r="R55" s="3"/>
      <c r="S55" s="3"/>
      <c r="T55" s="3"/>
      <c r="U55" s="3"/>
      <c r="V55" s="3"/>
      <c r="W55" s="3"/>
      <c r="X55" s="3"/>
      <c r="Z55">
        <f>VLOOKUP(A55,[1]Worksheet!$A$1:$A$510,1,0)</f>
        <v>367</v>
      </c>
      <c r="AA55">
        <f t="shared" si="0"/>
        <v>1</v>
      </c>
    </row>
    <row r="56" spans="1:27" hidden="1" x14ac:dyDescent="0.3">
      <c r="A56" s="1">
        <v>377</v>
      </c>
      <c r="B56" s="1" t="s">
        <v>546</v>
      </c>
      <c r="C56" s="1" t="s">
        <v>47</v>
      </c>
      <c r="D56" s="1" t="s">
        <v>152</v>
      </c>
      <c r="E56" s="1" t="s">
        <v>40</v>
      </c>
      <c r="F56" s="1" t="s">
        <v>53</v>
      </c>
      <c r="G56" s="1" t="s">
        <v>30</v>
      </c>
      <c r="H56" s="1" t="s">
        <v>31</v>
      </c>
      <c r="I56" s="1">
        <v>100</v>
      </c>
      <c r="J56" s="1" t="s">
        <v>547</v>
      </c>
      <c r="K56" s="1" t="s">
        <v>33</v>
      </c>
      <c r="L56" s="1" t="s">
        <v>33</v>
      </c>
      <c r="M56" s="1" t="s">
        <v>34</v>
      </c>
      <c r="N56" s="5">
        <v>107.11</v>
      </c>
      <c r="O56" s="5">
        <v>125.01</v>
      </c>
      <c r="P56" s="6">
        <v>60.77</v>
      </c>
      <c r="Q56" s="3"/>
      <c r="R56" s="3"/>
      <c r="S56" s="3"/>
      <c r="T56" s="3"/>
      <c r="U56" s="3"/>
      <c r="V56" s="3"/>
      <c r="W56" s="3"/>
      <c r="X56" s="3"/>
      <c r="Z56">
        <f>VLOOKUP(A56,[1]Worksheet!$A$1:$A$510,1,0)</f>
        <v>377</v>
      </c>
      <c r="AA56">
        <f t="shared" si="0"/>
        <v>1</v>
      </c>
    </row>
    <row r="57" spans="1:27" hidden="1" x14ac:dyDescent="0.3">
      <c r="A57" s="1">
        <v>392</v>
      </c>
      <c r="B57" s="1" t="s">
        <v>599</v>
      </c>
      <c r="C57" s="1" t="s">
        <v>47</v>
      </c>
      <c r="D57" s="1" t="s">
        <v>600</v>
      </c>
      <c r="E57" s="1" t="s">
        <v>28</v>
      </c>
      <c r="F57" s="1" t="s">
        <v>53</v>
      </c>
      <c r="G57" s="1" t="s">
        <v>30</v>
      </c>
      <c r="H57" s="1" t="s">
        <v>31</v>
      </c>
      <c r="I57" s="1">
        <v>100</v>
      </c>
      <c r="J57" s="1" t="s">
        <v>601</v>
      </c>
      <c r="K57" s="1" t="s">
        <v>33</v>
      </c>
      <c r="L57" s="1" t="s">
        <v>33</v>
      </c>
      <c r="M57" s="1" t="s">
        <v>34</v>
      </c>
      <c r="N57" s="4">
        <v>100.8</v>
      </c>
      <c r="O57" s="5">
        <v>145.21</v>
      </c>
      <c r="P57" s="5">
        <v>147.38</v>
      </c>
      <c r="Q57" s="3"/>
      <c r="R57" s="3"/>
      <c r="S57" s="3"/>
      <c r="T57" s="3"/>
      <c r="U57" s="3"/>
      <c r="V57" s="3"/>
      <c r="W57" s="3"/>
      <c r="X57" s="3"/>
      <c r="Z57">
        <f>VLOOKUP(A57,[1]Worksheet!$A$1:$A$510,1,0)</f>
        <v>392</v>
      </c>
      <c r="AA57">
        <f t="shared" si="0"/>
        <v>1</v>
      </c>
    </row>
    <row r="58" spans="1:27" hidden="1" x14ac:dyDescent="0.3">
      <c r="A58" s="1">
        <v>393</v>
      </c>
      <c r="B58" s="1" t="s">
        <v>602</v>
      </c>
      <c r="C58" s="1" t="s">
        <v>26</v>
      </c>
      <c r="D58" s="1" t="s">
        <v>600</v>
      </c>
      <c r="E58" s="1" t="s">
        <v>28</v>
      </c>
      <c r="F58" s="1" t="s">
        <v>53</v>
      </c>
      <c r="G58" s="1" t="s">
        <v>41</v>
      </c>
      <c r="H58" s="1" t="s">
        <v>31</v>
      </c>
      <c r="I58" s="1"/>
      <c r="J58" s="1" t="s">
        <v>603</v>
      </c>
      <c r="K58" s="1" t="s">
        <v>33</v>
      </c>
      <c r="L58" s="1" t="s">
        <v>33</v>
      </c>
      <c r="M58" s="1" t="s">
        <v>34</v>
      </c>
      <c r="N58" s="9">
        <v>12</v>
      </c>
      <c r="O58" s="4">
        <v>13</v>
      </c>
      <c r="P58" s="6">
        <v>15.45</v>
      </c>
      <c r="Q58" s="3"/>
      <c r="R58" s="3"/>
      <c r="S58" s="3"/>
      <c r="T58" s="3"/>
      <c r="U58" s="3"/>
      <c r="V58" s="3"/>
      <c r="W58" s="3"/>
      <c r="X58" s="3"/>
      <c r="Z58">
        <f>VLOOKUP(A58,[1]Worksheet!$A$1:$A$510,1,0)</f>
        <v>393</v>
      </c>
      <c r="AA58">
        <f t="shared" si="0"/>
        <v>1</v>
      </c>
    </row>
    <row r="59" spans="1:27" hidden="1" x14ac:dyDescent="0.3">
      <c r="A59" s="1">
        <v>402</v>
      </c>
      <c r="B59" s="1" t="s">
        <v>622</v>
      </c>
      <c r="C59" s="1" t="s">
        <v>47</v>
      </c>
      <c r="D59" s="1" t="s">
        <v>620</v>
      </c>
      <c r="E59" s="1" t="s">
        <v>28</v>
      </c>
      <c r="F59" s="1" t="s">
        <v>53</v>
      </c>
      <c r="G59" s="1" t="s">
        <v>30</v>
      </c>
      <c r="H59" s="1" t="s">
        <v>31</v>
      </c>
      <c r="I59" s="1"/>
      <c r="J59" s="1" t="s">
        <v>623</v>
      </c>
      <c r="K59" s="1" t="s">
        <v>33</v>
      </c>
      <c r="L59" s="1" t="s">
        <v>33</v>
      </c>
      <c r="M59" s="1" t="s">
        <v>34</v>
      </c>
      <c r="N59" s="9">
        <v>22.73</v>
      </c>
      <c r="O59" s="4">
        <v>4.76</v>
      </c>
      <c r="P59" s="3" t="s">
        <v>59</v>
      </c>
      <c r="Q59" s="3"/>
      <c r="R59" s="3"/>
      <c r="S59" s="3"/>
      <c r="T59" s="3"/>
      <c r="U59" s="3"/>
      <c r="V59" s="3"/>
      <c r="W59" s="3"/>
      <c r="X59" s="3"/>
      <c r="Z59">
        <f>VLOOKUP(A59,[1]Worksheet!$A$1:$A$510,1,0)</f>
        <v>402</v>
      </c>
      <c r="AA59">
        <f t="shared" si="0"/>
        <v>1</v>
      </c>
    </row>
    <row r="60" spans="1:27" hidden="1" x14ac:dyDescent="0.3">
      <c r="A60" s="1">
        <v>413</v>
      </c>
      <c r="B60" s="1" t="s">
        <v>640</v>
      </c>
      <c r="C60" s="1" t="s">
        <v>26</v>
      </c>
      <c r="D60" s="1" t="s">
        <v>605</v>
      </c>
      <c r="E60" s="1" t="s">
        <v>28</v>
      </c>
      <c r="F60" s="1" t="s">
        <v>53</v>
      </c>
      <c r="G60" s="1" t="s">
        <v>30</v>
      </c>
      <c r="H60" s="1" t="s">
        <v>31</v>
      </c>
      <c r="I60" s="1">
        <v>100</v>
      </c>
      <c r="J60" s="1" t="s">
        <v>641</v>
      </c>
      <c r="K60" s="1" t="s">
        <v>33</v>
      </c>
      <c r="L60" s="1" t="s">
        <v>33</v>
      </c>
      <c r="M60" s="1" t="s">
        <v>34</v>
      </c>
      <c r="N60" s="3"/>
      <c r="O60" s="4">
        <v>100</v>
      </c>
      <c r="P60" s="9">
        <v>100</v>
      </c>
      <c r="Q60" s="3"/>
      <c r="R60" s="3"/>
      <c r="S60" s="3"/>
      <c r="T60" s="3"/>
      <c r="U60" s="3"/>
      <c r="V60" s="3"/>
      <c r="W60" s="3"/>
      <c r="X60" s="3"/>
      <c r="Z60">
        <f>VLOOKUP(A60,[1]Worksheet!$A$1:$A$510,1,0)</f>
        <v>413</v>
      </c>
      <c r="AA60">
        <f t="shared" si="0"/>
        <v>1</v>
      </c>
    </row>
    <row r="61" spans="1:27" hidden="1" x14ac:dyDescent="0.3">
      <c r="A61" s="1">
        <v>423</v>
      </c>
      <c r="B61" s="1" t="s">
        <v>753</v>
      </c>
      <c r="C61" s="1" t="s">
        <v>47</v>
      </c>
      <c r="D61" s="1" t="s">
        <v>751</v>
      </c>
      <c r="E61" s="1" t="s">
        <v>44</v>
      </c>
      <c r="F61" s="1" t="s">
        <v>53</v>
      </c>
      <c r="G61" s="1" t="s">
        <v>30</v>
      </c>
      <c r="H61" s="1" t="s">
        <v>31</v>
      </c>
      <c r="I61" s="1">
        <v>12.3</v>
      </c>
      <c r="J61" s="1" t="s">
        <v>754</v>
      </c>
      <c r="K61" s="1" t="s">
        <v>33</v>
      </c>
      <c r="L61" s="1" t="s">
        <v>33</v>
      </c>
      <c r="M61" s="1" t="s">
        <v>34</v>
      </c>
      <c r="N61" s="5">
        <v>15.1</v>
      </c>
      <c r="O61" s="5">
        <v>12.3</v>
      </c>
      <c r="P61" s="6">
        <v>7.9</v>
      </c>
      <c r="Q61" s="3"/>
      <c r="R61" s="3"/>
      <c r="S61" s="3"/>
      <c r="T61" s="3"/>
      <c r="U61" s="3"/>
      <c r="V61" s="3"/>
      <c r="W61" s="3"/>
      <c r="X61" s="3"/>
      <c r="Z61">
        <f>VLOOKUP(A61,[1]Worksheet!$A$1:$A$510,1,0)</f>
        <v>423</v>
      </c>
      <c r="AA61">
        <f t="shared" si="0"/>
        <v>1</v>
      </c>
    </row>
    <row r="62" spans="1:27" hidden="1" x14ac:dyDescent="0.3">
      <c r="A62" s="1">
        <v>424</v>
      </c>
      <c r="B62" s="1" t="s">
        <v>755</v>
      </c>
      <c r="C62" s="1" t="s">
        <v>47</v>
      </c>
      <c r="D62" s="1" t="s">
        <v>751</v>
      </c>
      <c r="E62" s="1" t="s">
        <v>28</v>
      </c>
      <c r="F62" s="1" t="s">
        <v>53</v>
      </c>
      <c r="G62" s="1" t="s">
        <v>30</v>
      </c>
      <c r="H62" s="1" t="s">
        <v>31</v>
      </c>
      <c r="I62" s="1">
        <v>9</v>
      </c>
      <c r="J62" s="1" t="s">
        <v>756</v>
      </c>
      <c r="K62" s="1" t="s">
        <v>33</v>
      </c>
      <c r="L62" s="1" t="s">
        <v>33</v>
      </c>
      <c r="M62" s="1" t="s">
        <v>34</v>
      </c>
      <c r="N62" s="5">
        <v>11</v>
      </c>
      <c r="O62" s="5">
        <v>9</v>
      </c>
      <c r="P62" s="4">
        <v>6</v>
      </c>
      <c r="Q62" s="3"/>
      <c r="R62" s="3"/>
      <c r="S62" s="3"/>
      <c r="T62" s="3"/>
      <c r="U62" s="3"/>
      <c r="V62" s="3"/>
      <c r="W62" s="3"/>
      <c r="X62" s="3"/>
      <c r="Z62">
        <f>VLOOKUP(A62,[1]Worksheet!$A$1:$A$510,1,0)</f>
        <v>424</v>
      </c>
      <c r="AA62">
        <f t="shared" si="0"/>
        <v>1</v>
      </c>
    </row>
    <row r="63" spans="1:27" hidden="1" x14ac:dyDescent="0.3">
      <c r="A63" s="1">
        <v>437</v>
      </c>
      <c r="B63" s="1" t="s">
        <v>809</v>
      </c>
      <c r="C63" s="1" t="s">
        <v>47</v>
      </c>
      <c r="D63" s="1" t="s">
        <v>810</v>
      </c>
      <c r="E63" s="1" t="s">
        <v>44</v>
      </c>
      <c r="F63" s="1" t="s">
        <v>53</v>
      </c>
      <c r="G63" s="1" t="s">
        <v>30</v>
      </c>
      <c r="H63" s="1" t="s">
        <v>31</v>
      </c>
      <c r="I63" s="1">
        <v>80</v>
      </c>
      <c r="J63" s="1" t="s">
        <v>811</v>
      </c>
      <c r="K63" s="1" t="s">
        <v>33</v>
      </c>
      <c r="L63" s="1" t="s">
        <v>33</v>
      </c>
      <c r="M63" s="1" t="s">
        <v>34</v>
      </c>
      <c r="N63" s="5">
        <v>99</v>
      </c>
      <c r="O63" s="4">
        <v>84</v>
      </c>
      <c r="P63" s="5">
        <v>96</v>
      </c>
      <c r="Q63" s="3"/>
      <c r="R63" s="3"/>
      <c r="S63" s="3"/>
      <c r="T63" s="3"/>
      <c r="U63" s="3"/>
      <c r="V63" s="3"/>
      <c r="W63" s="3"/>
      <c r="X63" s="3"/>
      <c r="Z63">
        <f>VLOOKUP(A63,[1]Worksheet!$A$1:$A$510,1,0)</f>
        <v>437</v>
      </c>
      <c r="AA63">
        <f t="shared" si="0"/>
        <v>1</v>
      </c>
    </row>
    <row r="64" spans="1:27" hidden="1" x14ac:dyDescent="0.3">
      <c r="A64" s="1">
        <v>460</v>
      </c>
      <c r="B64" s="1" t="s">
        <v>837</v>
      </c>
      <c r="C64" s="1" t="s">
        <v>26</v>
      </c>
      <c r="D64" s="1" t="s">
        <v>39</v>
      </c>
      <c r="E64" s="1" t="s">
        <v>40</v>
      </c>
      <c r="F64" s="1" t="s">
        <v>53</v>
      </c>
      <c r="G64" s="1" t="s">
        <v>30</v>
      </c>
      <c r="H64" s="1" t="s">
        <v>31</v>
      </c>
      <c r="I64" s="1">
        <v>80</v>
      </c>
      <c r="J64" s="1" t="s">
        <v>838</v>
      </c>
      <c r="K64" s="1" t="s">
        <v>33</v>
      </c>
      <c r="L64" s="1" t="s">
        <v>33</v>
      </c>
      <c r="M64" s="1" t="s">
        <v>34</v>
      </c>
      <c r="N64" s="4">
        <v>84.18</v>
      </c>
      <c r="O64" s="5">
        <v>91.439688715953309</v>
      </c>
      <c r="P64" s="3"/>
      <c r="Q64" s="3"/>
      <c r="R64" s="3"/>
      <c r="S64" s="3"/>
      <c r="T64" s="3"/>
      <c r="U64" s="3"/>
      <c r="V64" s="3"/>
      <c r="W64" s="3"/>
      <c r="X64" s="3"/>
      <c r="Z64">
        <f>VLOOKUP(A64,[1]Worksheet!$A$1:$A$510,1,0)</f>
        <v>460</v>
      </c>
      <c r="AA64">
        <f t="shared" si="0"/>
        <v>1</v>
      </c>
    </row>
    <row r="65" spans="1:27" x14ac:dyDescent="0.3">
      <c r="A65" s="1">
        <v>487</v>
      </c>
      <c r="B65" s="1" t="s">
        <v>933</v>
      </c>
      <c r="C65" s="1" t="s">
        <v>26</v>
      </c>
      <c r="D65" s="1" t="s">
        <v>336</v>
      </c>
      <c r="E65" s="1" t="s">
        <v>28</v>
      </c>
      <c r="F65" s="1" t="s">
        <v>53</v>
      </c>
      <c r="G65" s="1" t="s">
        <v>30</v>
      </c>
      <c r="H65" s="1" t="s">
        <v>31</v>
      </c>
      <c r="I65" s="1">
        <v>20</v>
      </c>
      <c r="J65" s="1" t="s">
        <v>934</v>
      </c>
      <c r="K65" s="1" t="s">
        <v>33</v>
      </c>
      <c r="L65" s="1" t="s">
        <v>33</v>
      </c>
      <c r="M65" s="1" t="s">
        <v>34</v>
      </c>
      <c r="N65" s="5">
        <v>58.86</v>
      </c>
      <c r="O65" s="9">
        <v>6.06</v>
      </c>
      <c r="P65" s="3"/>
      <c r="Q65" s="3"/>
      <c r="R65" s="3"/>
      <c r="S65" s="3"/>
      <c r="T65" s="3"/>
      <c r="U65" s="3"/>
      <c r="V65" s="3"/>
      <c r="W65" s="3"/>
      <c r="X65" s="3"/>
      <c r="Z65" t="e">
        <f>VLOOKUP(A65,[1]Worksheet!$A$1:$A$510,1,0)</f>
        <v>#N/A</v>
      </c>
      <c r="AA65">
        <f t="shared" si="0"/>
        <v>1</v>
      </c>
    </row>
    <row r="66" spans="1:27" x14ac:dyDescent="0.3">
      <c r="A66" s="1">
        <v>490</v>
      </c>
      <c r="B66" s="1" t="s">
        <v>937</v>
      </c>
      <c r="C66" s="1" t="s">
        <v>47</v>
      </c>
      <c r="D66" s="1" t="s">
        <v>303</v>
      </c>
      <c r="E66" s="1" t="s">
        <v>44</v>
      </c>
      <c r="F66" s="1" t="s">
        <v>53</v>
      </c>
      <c r="G66" s="1" t="s">
        <v>30</v>
      </c>
      <c r="H66" s="1" t="s">
        <v>31</v>
      </c>
      <c r="I66" s="1">
        <v>80</v>
      </c>
      <c r="J66" s="1" t="s">
        <v>938</v>
      </c>
      <c r="K66" s="1" t="s">
        <v>33</v>
      </c>
      <c r="L66" s="1" t="s">
        <v>33</v>
      </c>
      <c r="M66" s="1" t="s">
        <v>34</v>
      </c>
      <c r="N66" s="5">
        <v>100</v>
      </c>
      <c r="O66" s="5">
        <v>88</v>
      </c>
      <c r="P66" s="3"/>
      <c r="Q66" s="3"/>
      <c r="R66" s="3"/>
      <c r="S66" s="3"/>
      <c r="T66" s="3"/>
      <c r="U66" s="3"/>
      <c r="V66" s="3"/>
      <c r="W66" s="3"/>
      <c r="X66" s="3"/>
      <c r="Z66" t="e">
        <f>VLOOKUP(A66,[1]Worksheet!$A$1:$A$510,1,0)</f>
        <v>#N/A</v>
      </c>
      <c r="AA66">
        <f t="shared" ref="AA66:AA129" si="1">IF(A66=A65,0,1)</f>
        <v>1</v>
      </c>
    </row>
    <row r="67" spans="1:27" x14ac:dyDescent="0.3">
      <c r="A67" s="1">
        <v>491</v>
      </c>
      <c r="B67" s="1" t="s">
        <v>939</v>
      </c>
      <c r="C67" s="1" t="s">
        <v>47</v>
      </c>
      <c r="D67" s="1" t="s">
        <v>273</v>
      </c>
      <c r="E67" s="1" t="s">
        <v>44</v>
      </c>
      <c r="F67" s="1" t="s">
        <v>53</v>
      </c>
      <c r="G67" s="1" t="s">
        <v>30</v>
      </c>
      <c r="H67" s="1" t="s">
        <v>31</v>
      </c>
      <c r="I67" s="1">
        <v>80</v>
      </c>
      <c r="J67" s="1" t="s">
        <v>940</v>
      </c>
      <c r="K67" s="1" t="s">
        <v>33</v>
      </c>
      <c r="L67" s="1" t="s">
        <v>33</v>
      </c>
      <c r="M67" s="1" t="s">
        <v>34</v>
      </c>
      <c r="N67" s="5">
        <v>100</v>
      </c>
      <c r="O67" s="5">
        <v>88</v>
      </c>
      <c r="P67" s="3"/>
      <c r="Q67" s="3"/>
      <c r="R67" s="3"/>
      <c r="S67" s="3"/>
      <c r="T67" s="3"/>
      <c r="U67" s="3"/>
      <c r="V67" s="3"/>
      <c r="W67" s="3"/>
      <c r="X67" s="3"/>
      <c r="Z67" t="e">
        <f>VLOOKUP(A67,[1]Worksheet!$A$1:$A$510,1,0)</f>
        <v>#N/A</v>
      </c>
      <c r="AA67">
        <f t="shared" si="1"/>
        <v>1</v>
      </c>
    </row>
    <row r="68" spans="1:27" x14ac:dyDescent="0.3">
      <c r="A68" s="1">
        <v>492</v>
      </c>
      <c r="B68" s="1" t="s">
        <v>941</v>
      </c>
      <c r="C68" s="1" t="s">
        <v>47</v>
      </c>
      <c r="D68" s="1" t="s">
        <v>298</v>
      </c>
      <c r="E68" s="1" t="s">
        <v>44</v>
      </c>
      <c r="F68" s="1" t="s">
        <v>53</v>
      </c>
      <c r="G68" s="1" t="s">
        <v>30</v>
      </c>
      <c r="H68" s="1" t="s">
        <v>31</v>
      </c>
      <c r="I68" s="1">
        <v>80</v>
      </c>
      <c r="J68" s="1" t="s">
        <v>942</v>
      </c>
      <c r="K68" s="1" t="s">
        <v>33</v>
      </c>
      <c r="L68" s="1" t="s">
        <v>33</v>
      </c>
      <c r="M68" s="1" t="s">
        <v>34</v>
      </c>
      <c r="N68" s="5">
        <v>95</v>
      </c>
      <c r="O68" s="4">
        <v>83</v>
      </c>
      <c r="P68" s="3"/>
      <c r="Q68" s="3"/>
      <c r="R68" s="3"/>
      <c r="S68" s="3"/>
      <c r="T68" s="3"/>
      <c r="U68" s="3"/>
      <c r="V68" s="3"/>
      <c r="W68" s="3"/>
      <c r="X68" s="3"/>
      <c r="Z68" t="e">
        <f>VLOOKUP(A68,[1]Worksheet!$A$1:$A$510,1,0)</f>
        <v>#N/A</v>
      </c>
      <c r="AA68">
        <f t="shared" si="1"/>
        <v>1</v>
      </c>
    </row>
    <row r="69" spans="1:27" x14ac:dyDescent="0.3">
      <c r="A69" s="1">
        <v>493</v>
      </c>
      <c r="B69" s="1" t="s">
        <v>943</v>
      </c>
      <c r="C69" s="1" t="s">
        <v>47</v>
      </c>
      <c r="D69" s="1" t="s">
        <v>327</v>
      </c>
      <c r="E69" s="1" t="s">
        <v>44</v>
      </c>
      <c r="F69" s="1" t="s">
        <v>53</v>
      </c>
      <c r="G69" s="1" t="s">
        <v>30</v>
      </c>
      <c r="H69" s="1" t="s">
        <v>31</v>
      </c>
      <c r="I69" s="1">
        <v>80</v>
      </c>
      <c r="J69" s="1" t="s">
        <v>944</v>
      </c>
      <c r="K69" s="1" t="s">
        <v>33</v>
      </c>
      <c r="L69" s="1" t="s">
        <v>33</v>
      </c>
      <c r="M69" s="1" t="s">
        <v>34</v>
      </c>
      <c r="N69" s="6">
        <v>77</v>
      </c>
      <c r="O69" s="4">
        <v>81</v>
      </c>
      <c r="P69" s="3"/>
      <c r="Q69" s="3"/>
      <c r="R69" s="3"/>
      <c r="S69" s="3"/>
      <c r="T69" s="3"/>
      <c r="U69" s="3"/>
      <c r="V69" s="3"/>
      <c r="W69" s="3"/>
      <c r="X69" s="3"/>
      <c r="Z69" t="e">
        <f>VLOOKUP(A69,[1]Worksheet!$A$1:$A$510,1,0)</f>
        <v>#N/A</v>
      </c>
      <c r="AA69">
        <f t="shared" si="1"/>
        <v>1</v>
      </c>
    </row>
    <row r="70" spans="1:27" x14ac:dyDescent="0.3">
      <c r="A70" s="1">
        <v>494</v>
      </c>
      <c r="B70" s="1" t="s">
        <v>945</v>
      </c>
      <c r="C70" s="1" t="s">
        <v>47</v>
      </c>
      <c r="D70" s="1" t="s">
        <v>429</v>
      </c>
      <c r="E70" s="1" t="s">
        <v>44</v>
      </c>
      <c r="F70" s="1" t="s">
        <v>53</v>
      </c>
      <c r="G70" s="1" t="s">
        <v>30</v>
      </c>
      <c r="H70" s="1" t="s">
        <v>31</v>
      </c>
      <c r="I70" s="1">
        <v>80</v>
      </c>
      <c r="J70" s="1" t="s">
        <v>946</v>
      </c>
      <c r="K70" s="1" t="s">
        <v>33</v>
      </c>
      <c r="L70" s="1" t="s">
        <v>33</v>
      </c>
      <c r="M70" s="1" t="s">
        <v>34</v>
      </c>
      <c r="N70" s="5">
        <v>93</v>
      </c>
      <c r="O70" s="5">
        <v>89</v>
      </c>
      <c r="P70" s="3"/>
      <c r="Q70" s="3"/>
      <c r="R70" s="3"/>
      <c r="S70" s="3"/>
      <c r="T70" s="3"/>
      <c r="U70" s="3"/>
      <c r="V70" s="3"/>
      <c r="W70" s="3"/>
      <c r="X70" s="3"/>
      <c r="Z70" t="e">
        <f>VLOOKUP(A70,[1]Worksheet!$A$1:$A$510,1,0)</f>
        <v>#N/A</v>
      </c>
      <c r="AA70">
        <f t="shared" si="1"/>
        <v>1</v>
      </c>
    </row>
    <row r="71" spans="1:27" x14ac:dyDescent="0.3">
      <c r="A71" s="1">
        <v>495</v>
      </c>
      <c r="B71" s="1" t="s">
        <v>947</v>
      </c>
      <c r="C71" s="1" t="s">
        <v>47</v>
      </c>
      <c r="D71" s="1" t="s">
        <v>495</v>
      </c>
      <c r="E71" s="1" t="s">
        <v>44</v>
      </c>
      <c r="F71" s="1" t="s">
        <v>53</v>
      </c>
      <c r="G71" s="1" t="s">
        <v>30</v>
      </c>
      <c r="H71" s="1" t="s">
        <v>31</v>
      </c>
      <c r="I71" s="1">
        <v>80</v>
      </c>
      <c r="J71" s="1" t="s">
        <v>948</v>
      </c>
      <c r="K71" s="1" t="s">
        <v>33</v>
      </c>
      <c r="L71" s="1" t="s">
        <v>33</v>
      </c>
      <c r="M71" s="1" t="s">
        <v>34</v>
      </c>
      <c r="N71" s="7">
        <v>63</v>
      </c>
      <c r="O71" s="5">
        <v>92</v>
      </c>
      <c r="P71" s="3"/>
      <c r="Q71" s="3"/>
      <c r="R71" s="3"/>
      <c r="S71" s="3"/>
      <c r="T71" s="3"/>
      <c r="U71" s="3"/>
      <c r="V71" s="3"/>
      <c r="W71" s="3"/>
      <c r="X71" s="3"/>
      <c r="Z71" t="e">
        <f>VLOOKUP(A71,[1]Worksheet!$A$1:$A$510,1,0)</f>
        <v>#N/A</v>
      </c>
      <c r="AA71">
        <f t="shared" si="1"/>
        <v>1</v>
      </c>
    </row>
    <row r="72" spans="1:27" x14ac:dyDescent="0.3">
      <c r="A72" s="1">
        <v>496</v>
      </c>
      <c r="B72" s="1" t="s">
        <v>949</v>
      </c>
      <c r="C72" s="1" t="s">
        <v>47</v>
      </c>
      <c r="D72" s="1" t="s">
        <v>152</v>
      </c>
      <c r="E72" s="1" t="s">
        <v>44</v>
      </c>
      <c r="F72" s="1" t="s">
        <v>53</v>
      </c>
      <c r="G72" s="1" t="s">
        <v>30</v>
      </c>
      <c r="H72" s="1" t="s">
        <v>31</v>
      </c>
      <c r="I72" s="1">
        <v>80</v>
      </c>
      <c r="J72" s="1" t="s">
        <v>950</v>
      </c>
      <c r="K72" s="1" t="s">
        <v>33</v>
      </c>
      <c r="L72" s="1" t="s">
        <v>33</v>
      </c>
      <c r="M72" s="1" t="s">
        <v>34</v>
      </c>
      <c r="N72" s="5">
        <v>100</v>
      </c>
      <c r="O72" s="5">
        <v>88</v>
      </c>
      <c r="P72" s="3"/>
      <c r="Q72" s="3"/>
      <c r="R72" s="3"/>
      <c r="S72" s="3"/>
      <c r="T72" s="3"/>
      <c r="U72" s="3"/>
      <c r="V72" s="3"/>
      <c r="W72" s="3"/>
      <c r="X72" s="3"/>
      <c r="Z72" t="e">
        <f>VLOOKUP(A72,[1]Worksheet!$A$1:$A$510,1,0)</f>
        <v>#N/A</v>
      </c>
      <c r="AA72">
        <f t="shared" si="1"/>
        <v>1</v>
      </c>
    </row>
    <row r="73" spans="1:27" x14ac:dyDescent="0.3">
      <c r="A73" s="1">
        <v>498</v>
      </c>
      <c r="B73" s="1" t="s">
        <v>951</v>
      </c>
      <c r="C73" s="1" t="s">
        <v>47</v>
      </c>
      <c r="D73" s="1" t="s">
        <v>336</v>
      </c>
      <c r="E73" s="1" t="s">
        <v>44</v>
      </c>
      <c r="F73" s="1" t="s">
        <v>53</v>
      </c>
      <c r="G73" s="1" t="s">
        <v>30</v>
      </c>
      <c r="H73" s="1" t="s">
        <v>31</v>
      </c>
      <c r="I73" s="1">
        <v>80</v>
      </c>
      <c r="J73" s="1" t="s">
        <v>952</v>
      </c>
      <c r="K73" s="1" t="s">
        <v>33</v>
      </c>
      <c r="L73" s="1" t="s">
        <v>33</v>
      </c>
      <c r="M73" s="1" t="s">
        <v>34</v>
      </c>
      <c r="N73" s="5">
        <v>95</v>
      </c>
      <c r="O73" s="5">
        <v>92</v>
      </c>
      <c r="P73" s="3"/>
      <c r="Q73" s="3"/>
      <c r="R73" s="3"/>
      <c r="S73" s="3"/>
      <c r="T73" s="3"/>
      <c r="U73" s="3"/>
      <c r="V73" s="3"/>
      <c r="W73" s="3"/>
      <c r="X73" s="3"/>
      <c r="Z73" t="e">
        <f>VLOOKUP(A73,[1]Worksheet!$A$1:$A$510,1,0)</f>
        <v>#N/A</v>
      </c>
      <c r="AA73">
        <f t="shared" si="1"/>
        <v>1</v>
      </c>
    </row>
    <row r="74" spans="1:27" x14ac:dyDescent="0.3">
      <c r="A74" s="1">
        <v>499</v>
      </c>
      <c r="B74" s="1" t="s">
        <v>953</v>
      </c>
      <c r="C74" s="1" t="s">
        <v>47</v>
      </c>
      <c r="D74" s="1" t="s">
        <v>954</v>
      </c>
      <c r="E74" s="1" t="s">
        <v>44</v>
      </c>
      <c r="F74" s="1" t="s">
        <v>53</v>
      </c>
      <c r="G74" s="1" t="s">
        <v>30</v>
      </c>
      <c r="H74" s="1" t="s">
        <v>31</v>
      </c>
      <c r="I74" s="1">
        <v>80</v>
      </c>
      <c r="J74" s="1" t="s">
        <v>955</v>
      </c>
      <c r="K74" s="1" t="s">
        <v>33</v>
      </c>
      <c r="L74" s="1" t="s">
        <v>33</v>
      </c>
      <c r="M74" s="1" t="s">
        <v>34</v>
      </c>
      <c r="N74" s="3"/>
      <c r="O74" s="5">
        <v>87</v>
      </c>
      <c r="P74" s="3"/>
      <c r="Q74" s="3"/>
      <c r="R74" s="3"/>
      <c r="S74" s="3"/>
      <c r="T74" s="3"/>
      <c r="U74" s="3"/>
      <c r="V74" s="3"/>
      <c r="W74" s="3"/>
      <c r="X74" s="3"/>
      <c r="Z74" t="e">
        <f>VLOOKUP(A74,[1]Worksheet!$A$1:$A$510,1,0)</f>
        <v>#N/A</v>
      </c>
      <c r="AA74">
        <f t="shared" si="1"/>
        <v>1</v>
      </c>
    </row>
    <row r="75" spans="1:27" x14ac:dyDescent="0.3">
      <c r="A75" s="1">
        <v>500</v>
      </c>
      <c r="B75" s="1" t="s">
        <v>956</v>
      </c>
      <c r="C75" s="1" t="s">
        <v>47</v>
      </c>
      <c r="D75" s="1" t="s">
        <v>444</v>
      </c>
      <c r="E75" s="1" t="s">
        <v>44</v>
      </c>
      <c r="F75" s="1" t="s">
        <v>53</v>
      </c>
      <c r="G75" s="1" t="s">
        <v>30</v>
      </c>
      <c r="H75" s="1" t="s">
        <v>31</v>
      </c>
      <c r="I75" s="1">
        <v>80</v>
      </c>
      <c r="J75" s="1" t="s">
        <v>957</v>
      </c>
      <c r="K75" s="1" t="s">
        <v>33</v>
      </c>
      <c r="L75" s="1" t="s">
        <v>33</v>
      </c>
      <c r="M75" s="1" t="s">
        <v>34</v>
      </c>
      <c r="N75" s="5">
        <v>100</v>
      </c>
      <c r="O75" s="5">
        <v>89</v>
      </c>
      <c r="P75" s="3"/>
      <c r="Q75" s="3"/>
      <c r="R75" s="3"/>
      <c r="S75" s="3"/>
      <c r="T75" s="3"/>
      <c r="U75" s="3"/>
      <c r="V75" s="3"/>
      <c r="W75" s="3"/>
      <c r="X75" s="3"/>
      <c r="Z75" t="e">
        <f>VLOOKUP(A75,[1]Worksheet!$A$1:$A$510,1,0)</f>
        <v>#N/A</v>
      </c>
      <c r="AA75">
        <f t="shared" si="1"/>
        <v>1</v>
      </c>
    </row>
    <row r="76" spans="1:27" x14ac:dyDescent="0.3">
      <c r="A76" s="1">
        <v>501</v>
      </c>
      <c r="B76" s="1" t="s">
        <v>958</v>
      </c>
      <c r="C76" s="1" t="s">
        <v>47</v>
      </c>
      <c r="D76" s="1" t="s">
        <v>896</v>
      </c>
      <c r="E76" s="1" t="s">
        <v>44</v>
      </c>
      <c r="F76" s="1" t="s">
        <v>53</v>
      </c>
      <c r="G76" s="1" t="s">
        <v>30</v>
      </c>
      <c r="H76" s="1" t="s">
        <v>31</v>
      </c>
      <c r="I76" s="1">
        <v>80</v>
      </c>
      <c r="J76" s="1" t="s">
        <v>959</v>
      </c>
      <c r="K76" s="1" t="s">
        <v>33</v>
      </c>
      <c r="L76" s="1" t="s">
        <v>33</v>
      </c>
      <c r="M76" s="1" t="s">
        <v>34</v>
      </c>
      <c r="N76" s="5">
        <v>100</v>
      </c>
      <c r="O76" s="5">
        <v>88</v>
      </c>
      <c r="P76" s="3"/>
      <c r="Q76" s="3"/>
      <c r="R76" s="3"/>
      <c r="S76" s="3"/>
      <c r="T76" s="3"/>
      <c r="U76" s="3"/>
      <c r="V76" s="3"/>
      <c r="W76" s="3"/>
      <c r="X76" s="3"/>
      <c r="Z76" t="e">
        <f>VLOOKUP(A76,[1]Worksheet!$A$1:$A$510,1,0)</f>
        <v>#N/A</v>
      </c>
      <c r="AA76">
        <f t="shared" si="1"/>
        <v>1</v>
      </c>
    </row>
    <row r="77" spans="1:27" x14ac:dyDescent="0.3">
      <c r="A77" s="1">
        <v>502</v>
      </c>
      <c r="B77" s="1" t="s">
        <v>960</v>
      </c>
      <c r="C77" s="1" t="s">
        <v>47</v>
      </c>
      <c r="D77" s="1" t="s">
        <v>122</v>
      </c>
      <c r="E77" s="1" t="s">
        <v>44</v>
      </c>
      <c r="F77" s="1" t="s">
        <v>53</v>
      </c>
      <c r="G77" s="1" t="s">
        <v>30</v>
      </c>
      <c r="H77" s="1" t="s">
        <v>31</v>
      </c>
      <c r="I77" s="1">
        <v>80</v>
      </c>
      <c r="J77" s="1" t="s">
        <v>961</v>
      </c>
      <c r="K77" s="1" t="s">
        <v>33</v>
      </c>
      <c r="L77" s="1" t="s">
        <v>33</v>
      </c>
      <c r="M77" s="1" t="s">
        <v>34</v>
      </c>
      <c r="N77" s="5">
        <v>97</v>
      </c>
      <c r="O77" s="5">
        <v>90</v>
      </c>
      <c r="P77" s="3"/>
      <c r="Q77" s="3"/>
      <c r="R77" s="3"/>
      <c r="S77" s="3"/>
      <c r="T77" s="3"/>
      <c r="U77" s="3"/>
      <c r="V77" s="3"/>
      <c r="W77" s="3"/>
      <c r="X77" s="3"/>
      <c r="Z77" t="e">
        <f>VLOOKUP(A77,[1]Worksheet!$A$1:$A$510,1,0)</f>
        <v>#N/A</v>
      </c>
      <c r="AA77">
        <f t="shared" si="1"/>
        <v>1</v>
      </c>
    </row>
    <row r="78" spans="1:27" x14ac:dyDescent="0.3">
      <c r="A78" s="1">
        <v>503</v>
      </c>
      <c r="B78" s="1" t="s">
        <v>962</v>
      </c>
      <c r="C78" s="1" t="s">
        <v>47</v>
      </c>
      <c r="D78" s="1" t="s">
        <v>571</v>
      </c>
      <c r="E78" s="1" t="s">
        <v>44</v>
      </c>
      <c r="F78" s="1" t="s">
        <v>53</v>
      </c>
      <c r="G78" s="1" t="s">
        <v>30</v>
      </c>
      <c r="H78" s="1" t="s">
        <v>31</v>
      </c>
      <c r="I78" s="1">
        <v>80</v>
      </c>
      <c r="J78" s="1" t="s">
        <v>963</v>
      </c>
      <c r="K78" s="1" t="s">
        <v>33</v>
      </c>
      <c r="L78" s="1" t="s">
        <v>33</v>
      </c>
      <c r="M78" s="1" t="s">
        <v>34</v>
      </c>
      <c r="N78" s="5">
        <v>94</v>
      </c>
      <c r="O78" s="5">
        <v>86</v>
      </c>
      <c r="P78" s="3"/>
      <c r="Q78" s="3"/>
      <c r="R78" s="3"/>
      <c r="S78" s="3"/>
      <c r="T78" s="3"/>
      <c r="U78" s="3"/>
      <c r="V78" s="3"/>
      <c r="W78" s="3"/>
      <c r="X78" s="3"/>
      <c r="Z78" t="e">
        <f>VLOOKUP(A78,[1]Worksheet!$A$1:$A$510,1,0)</f>
        <v>#N/A</v>
      </c>
      <c r="AA78">
        <f t="shared" si="1"/>
        <v>1</v>
      </c>
    </row>
    <row r="79" spans="1:27" x14ac:dyDescent="0.3">
      <c r="A79" s="1">
        <v>504</v>
      </c>
      <c r="B79" s="1" t="s">
        <v>964</v>
      </c>
      <c r="C79" s="1" t="s">
        <v>47</v>
      </c>
      <c r="D79" s="1" t="s">
        <v>620</v>
      </c>
      <c r="E79" s="1" t="s">
        <v>44</v>
      </c>
      <c r="F79" s="1" t="s">
        <v>53</v>
      </c>
      <c r="G79" s="1" t="s">
        <v>30</v>
      </c>
      <c r="H79" s="1" t="s">
        <v>31</v>
      </c>
      <c r="I79" s="1">
        <v>80</v>
      </c>
      <c r="J79" s="1" t="s">
        <v>965</v>
      </c>
      <c r="K79" s="1" t="s">
        <v>33</v>
      </c>
      <c r="L79" s="1" t="s">
        <v>33</v>
      </c>
      <c r="M79" s="1" t="s">
        <v>34</v>
      </c>
      <c r="N79" s="5">
        <v>88</v>
      </c>
      <c r="O79" s="5">
        <v>88</v>
      </c>
      <c r="P79" s="3"/>
      <c r="Q79" s="3"/>
      <c r="R79" s="3"/>
      <c r="S79" s="3"/>
      <c r="T79" s="3"/>
      <c r="U79" s="3"/>
      <c r="V79" s="3"/>
      <c r="W79" s="3"/>
      <c r="X79" s="3"/>
      <c r="Z79" t="e">
        <f>VLOOKUP(A79,[1]Worksheet!$A$1:$A$510,1,0)</f>
        <v>#N/A</v>
      </c>
      <c r="AA79">
        <f t="shared" si="1"/>
        <v>1</v>
      </c>
    </row>
    <row r="80" spans="1:27" x14ac:dyDescent="0.3">
      <c r="A80" s="1">
        <v>505</v>
      </c>
      <c r="B80" s="1" t="s">
        <v>966</v>
      </c>
      <c r="C80" s="1" t="s">
        <v>47</v>
      </c>
      <c r="D80" s="1" t="s">
        <v>751</v>
      </c>
      <c r="E80" s="1" t="s">
        <v>44</v>
      </c>
      <c r="F80" s="1" t="s">
        <v>53</v>
      </c>
      <c r="G80" s="1" t="s">
        <v>30</v>
      </c>
      <c r="H80" s="1" t="s">
        <v>31</v>
      </c>
      <c r="I80" s="1">
        <v>80</v>
      </c>
      <c r="J80" s="1" t="s">
        <v>967</v>
      </c>
      <c r="K80" s="1" t="s">
        <v>33</v>
      </c>
      <c r="L80" s="1" t="s">
        <v>33</v>
      </c>
      <c r="M80" s="1" t="s">
        <v>34</v>
      </c>
      <c r="N80" s="5">
        <v>86</v>
      </c>
      <c r="O80" s="4">
        <v>85</v>
      </c>
      <c r="P80" s="3"/>
      <c r="Q80" s="3"/>
      <c r="R80" s="3"/>
      <c r="S80" s="3"/>
      <c r="T80" s="3"/>
      <c r="U80" s="3"/>
      <c r="V80" s="3"/>
      <c r="W80" s="3"/>
      <c r="X80" s="3"/>
      <c r="Z80" t="e">
        <f>VLOOKUP(A80,[1]Worksheet!$A$1:$A$510,1,0)</f>
        <v>#N/A</v>
      </c>
      <c r="AA80">
        <f t="shared" si="1"/>
        <v>1</v>
      </c>
    </row>
    <row r="81" spans="1:27" x14ac:dyDescent="0.3">
      <c r="A81" s="1">
        <v>508</v>
      </c>
      <c r="B81" s="1" t="s">
        <v>972</v>
      </c>
      <c r="C81" s="1" t="s">
        <v>47</v>
      </c>
      <c r="D81" s="1" t="s">
        <v>610</v>
      </c>
      <c r="E81" s="1" t="s">
        <v>44</v>
      </c>
      <c r="F81" s="1" t="s">
        <v>53</v>
      </c>
      <c r="G81" s="1" t="s">
        <v>30</v>
      </c>
      <c r="H81" s="1" t="s">
        <v>31</v>
      </c>
      <c r="I81" s="1">
        <v>80</v>
      </c>
      <c r="J81" s="1" t="s">
        <v>973</v>
      </c>
      <c r="K81" s="1" t="s">
        <v>33</v>
      </c>
      <c r="L81" s="1" t="s">
        <v>33</v>
      </c>
      <c r="M81" s="1" t="s">
        <v>34</v>
      </c>
      <c r="N81" s="5">
        <v>89</v>
      </c>
      <c r="O81" s="5">
        <v>88</v>
      </c>
      <c r="P81" s="3"/>
      <c r="Q81" s="3"/>
      <c r="R81" s="3"/>
      <c r="S81" s="3"/>
      <c r="T81" s="3"/>
      <c r="U81" s="3"/>
      <c r="V81" s="3"/>
      <c r="W81" s="3"/>
      <c r="X81" s="3"/>
      <c r="Z81" t="e">
        <f>VLOOKUP(A81,[1]Worksheet!$A$1:$A$510,1,0)</f>
        <v>#N/A</v>
      </c>
      <c r="AA81">
        <f t="shared" si="1"/>
        <v>1</v>
      </c>
    </row>
    <row r="82" spans="1:27" x14ac:dyDescent="0.3">
      <c r="A82" s="1">
        <v>522</v>
      </c>
      <c r="B82" s="1" t="s">
        <v>1047</v>
      </c>
      <c r="C82" s="1" t="s">
        <v>47</v>
      </c>
      <c r="D82" s="1" t="s">
        <v>896</v>
      </c>
      <c r="E82" s="1" t="s">
        <v>28</v>
      </c>
      <c r="F82" s="1" t="s">
        <v>53</v>
      </c>
      <c r="G82" s="1" t="s">
        <v>30</v>
      </c>
      <c r="H82" s="1" t="s">
        <v>31</v>
      </c>
      <c r="I82" s="1" t="s">
        <v>117</v>
      </c>
      <c r="J82" s="1" t="s">
        <v>1048</v>
      </c>
      <c r="K82" s="1" t="s">
        <v>33</v>
      </c>
      <c r="L82" s="1" t="s">
        <v>33</v>
      </c>
      <c r="M82" s="1" t="s">
        <v>34</v>
      </c>
      <c r="N82" s="8">
        <v>100</v>
      </c>
      <c r="O82" s="3"/>
      <c r="P82" s="3"/>
      <c r="Q82" s="3"/>
      <c r="R82" s="3"/>
      <c r="S82" s="3"/>
      <c r="T82" s="3"/>
      <c r="U82" s="3"/>
      <c r="V82" s="3"/>
      <c r="W82" s="3"/>
      <c r="X82" s="3"/>
      <c r="Z82" t="e">
        <f>VLOOKUP(A82,[1]Worksheet!$A$1:$A$510,1,0)</f>
        <v>#N/A</v>
      </c>
      <c r="AA82">
        <f t="shared" si="1"/>
        <v>1</v>
      </c>
    </row>
    <row r="83" spans="1:27" x14ac:dyDescent="0.3">
      <c r="A83" s="1">
        <v>527</v>
      </c>
      <c r="B83" s="1" t="s">
        <v>1070</v>
      </c>
      <c r="C83" s="1" t="s">
        <v>47</v>
      </c>
      <c r="D83" s="1" t="s">
        <v>303</v>
      </c>
      <c r="E83" s="1" t="s">
        <v>28</v>
      </c>
      <c r="F83" s="1" t="s">
        <v>53</v>
      </c>
      <c r="G83" s="1" t="s">
        <v>30</v>
      </c>
      <c r="H83" s="1" t="s">
        <v>31</v>
      </c>
      <c r="I83" s="1">
        <v>100</v>
      </c>
      <c r="J83" s="1" t="s">
        <v>1071</v>
      </c>
      <c r="K83" s="1" t="s">
        <v>33</v>
      </c>
      <c r="L83" s="1" t="s">
        <v>33</v>
      </c>
      <c r="M83" s="1" t="s">
        <v>34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Z83" t="e">
        <f>VLOOKUP(A83,[1]Worksheet!$A$1:$A$510,1,0)</f>
        <v>#N/A</v>
      </c>
      <c r="AA83">
        <f t="shared" si="1"/>
        <v>1</v>
      </c>
    </row>
    <row r="84" spans="1:27" x14ac:dyDescent="0.3">
      <c r="A84" s="1">
        <v>528</v>
      </c>
      <c r="B84" s="1" t="s">
        <v>1072</v>
      </c>
      <c r="C84" s="1" t="s">
        <v>47</v>
      </c>
      <c r="D84" s="1" t="s">
        <v>303</v>
      </c>
      <c r="E84" s="1" t="s">
        <v>28</v>
      </c>
      <c r="F84" s="1" t="s">
        <v>53</v>
      </c>
      <c r="G84" s="1" t="s">
        <v>30</v>
      </c>
      <c r="H84" s="1" t="s">
        <v>31</v>
      </c>
      <c r="I84" s="1">
        <v>100</v>
      </c>
      <c r="J84" s="1" t="s">
        <v>1073</v>
      </c>
      <c r="K84" s="1" t="s">
        <v>33</v>
      </c>
      <c r="L84" s="1" t="s">
        <v>33</v>
      </c>
      <c r="M84" s="1" t="s">
        <v>34</v>
      </c>
      <c r="N84" s="5">
        <v>173.92055267703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t="e">
        <f>VLOOKUP(A84,[1]Worksheet!$A$1:$A$510,1,0)</f>
        <v>#N/A</v>
      </c>
      <c r="AA84">
        <f t="shared" si="1"/>
        <v>1</v>
      </c>
    </row>
    <row r="85" spans="1:27" x14ac:dyDescent="0.3">
      <c r="A85" s="1">
        <v>541</v>
      </c>
      <c r="B85" s="1" t="s">
        <v>1122</v>
      </c>
      <c r="C85" s="1" t="s">
        <v>26</v>
      </c>
      <c r="D85" s="1" t="s">
        <v>1123</v>
      </c>
      <c r="E85" s="1" t="s">
        <v>28</v>
      </c>
      <c r="F85" s="1" t="s">
        <v>53</v>
      </c>
      <c r="G85" s="1" t="s">
        <v>30</v>
      </c>
      <c r="H85" s="1" t="s">
        <v>31</v>
      </c>
      <c r="I85" s="1">
        <v>4</v>
      </c>
      <c r="J85" s="1" t="s">
        <v>1124</v>
      </c>
      <c r="K85" s="1" t="s">
        <v>33</v>
      </c>
      <c r="L85" s="1" t="s">
        <v>33</v>
      </c>
      <c r="M85" s="1" t="s">
        <v>34</v>
      </c>
      <c r="N85" s="5">
        <v>6.99</v>
      </c>
      <c r="O85" s="3"/>
      <c r="P85" s="3"/>
      <c r="Q85" s="3"/>
      <c r="R85" s="3"/>
      <c r="S85" s="3"/>
      <c r="T85" s="3"/>
      <c r="U85" s="3"/>
      <c r="V85" s="3"/>
      <c r="W85" s="3"/>
      <c r="X85" s="3"/>
      <c r="Z85" t="e">
        <f>VLOOKUP(A85,[1]Worksheet!$A$1:$A$510,1,0)</f>
        <v>#N/A</v>
      </c>
      <c r="AA85">
        <f t="shared" si="1"/>
        <v>1</v>
      </c>
    </row>
    <row r="86" spans="1:27" x14ac:dyDescent="0.3">
      <c r="A86" s="1">
        <v>542</v>
      </c>
      <c r="B86" s="1" t="s">
        <v>1125</v>
      </c>
      <c r="C86" s="1" t="s">
        <v>47</v>
      </c>
      <c r="D86" s="1" t="s">
        <v>1123</v>
      </c>
      <c r="E86" s="1" t="s">
        <v>116</v>
      </c>
      <c r="F86" s="1" t="s">
        <v>53</v>
      </c>
      <c r="G86" s="1" t="s">
        <v>30</v>
      </c>
      <c r="H86" s="1" t="s">
        <v>153</v>
      </c>
      <c r="I86" s="1" t="s">
        <v>117</v>
      </c>
      <c r="J86" s="1" t="s">
        <v>1126</v>
      </c>
      <c r="K86" s="1" t="s">
        <v>186</v>
      </c>
      <c r="L86" s="1" t="s">
        <v>34</v>
      </c>
      <c r="M86" s="1" t="s">
        <v>34</v>
      </c>
      <c r="N86" s="8">
        <v>81.239999999999995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/>
      <c r="U86" s="3"/>
      <c r="V86" s="3"/>
      <c r="W86" s="3"/>
      <c r="X86" s="3"/>
      <c r="Z86" t="e">
        <f>VLOOKUP(A86,[1]Worksheet!$A$1:$A$510,1,0)</f>
        <v>#N/A</v>
      </c>
      <c r="AA86">
        <f t="shared" si="1"/>
        <v>1</v>
      </c>
    </row>
    <row r="87" spans="1:27" x14ac:dyDescent="0.3">
      <c r="A87" s="1">
        <v>546</v>
      </c>
      <c r="B87" s="1" t="s">
        <v>1151</v>
      </c>
      <c r="C87" s="1" t="s">
        <v>47</v>
      </c>
      <c r="D87" s="1" t="s">
        <v>1123</v>
      </c>
      <c r="E87" s="1" t="s">
        <v>28</v>
      </c>
      <c r="F87" s="1" t="s">
        <v>53</v>
      </c>
      <c r="G87" s="1" t="s">
        <v>30</v>
      </c>
      <c r="H87" s="1" t="s">
        <v>153</v>
      </c>
      <c r="I87" s="1"/>
      <c r="J87" s="1" t="s">
        <v>1152</v>
      </c>
      <c r="K87" s="1" t="s">
        <v>186</v>
      </c>
      <c r="L87" s="1" t="s">
        <v>34</v>
      </c>
      <c r="M87" s="1" t="s">
        <v>34</v>
      </c>
      <c r="N87" s="9">
        <v>37.79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/>
      <c r="U87" s="3"/>
      <c r="V87" s="3"/>
      <c r="W87" s="3"/>
      <c r="X87" s="3"/>
      <c r="Z87" t="e">
        <f>VLOOKUP(A87,[1]Worksheet!$A$1:$A$510,1,0)</f>
        <v>#N/A</v>
      </c>
      <c r="AA87">
        <f t="shared" si="1"/>
        <v>1</v>
      </c>
    </row>
    <row r="88" spans="1:27" x14ac:dyDescent="0.3">
      <c r="A88" s="1">
        <v>547</v>
      </c>
      <c r="B88" s="1" t="s">
        <v>1153</v>
      </c>
      <c r="C88" s="1" t="s">
        <v>47</v>
      </c>
      <c r="D88" s="1" t="s">
        <v>1123</v>
      </c>
      <c r="E88" s="1" t="s">
        <v>44</v>
      </c>
      <c r="F88" s="1" t="s">
        <v>53</v>
      </c>
      <c r="G88" s="1" t="s">
        <v>30</v>
      </c>
      <c r="H88" s="1" t="s">
        <v>31</v>
      </c>
      <c r="I88" s="1" t="s">
        <v>117</v>
      </c>
      <c r="J88" s="1" t="s">
        <v>1154</v>
      </c>
      <c r="K88" s="1" t="s">
        <v>33</v>
      </c>
      <c r="L88" s="1" t="s">
        <v>33</v>
      </c>
      <c r="M88" s="1" t="s">
        <v>34</v>
      </c>
      <c r="N88" s="8">
        <v>92</v>
      </c>
      <c r="O88" s="3"/>
      <c r="P88" s="3"/>
      <c r="Q88" s="3"/>
      <c r="R88" s="3"/>
      <c r="S88" s="3"/>
      <c r="T88" s="3"/>
      <c r="U88" s="3"/>
      <c r="V88" s="3"/>
      <c r="W88" s="3"/>
      <c r="X88" s="3"/>
      <c r="Z88" t="e">
        <f>VLOOKUP(A88,[1]Worksheet!$A$1:$A$510,1,0)</f>
        <v>#N/A</v>
      </c>
      <c r="AA88">
        <f t="shared" si="1"/>
        <v>1</v>
      </c>
    </row>
    <row r="89" spans="1:27" x14ac:dyDescent="0.3">
      <c r="A89" s="1">
        <v>552</v>
      </c>
      <c r="B89" s="1" t="s">
        <v>1159</v>
      </c>
      <c r="C89" s="1" t="s">
        <v>47</v>
      </c>
      <c r="D89" s="1" t="s">
        <v>516</v>
      </c>
      <c r="E89" s="1" t="s">
        <v>44</v>
      </c>
      <c r="F89" s="1" t="s">
        <v>53</v>
      </c>
      <c r="G89" s="1" t="s">
        <v>30</v>
      </c>
      <c r="H89" s="1" t="s">
        <v>31</v>
      </c>
      <c r="I89" s="1">
        <v>80</v>
      </c>
      <c r="J89" s="1" t="s">
        <v>1160</v>
      </c>
      <c r="K89" s="1" t="s">
        <v>33</v>
      </c>
      <c r="L89" s="1" t="s">
        <v>33</v>
      </c>
      <c r="M89" s="1" t="s">
        <v>34</v>
      </c>
      <c r="N89" s="5">
        <v>92</v>
      </c>
      <c r="O89" s="3"/>
      <c r="P89" s="3"/>
      <c r="Q89" s="3"/>
      <c r="R89" s="3"/>
      <c r="S89" s="3"/>
      <c r="T89" s="3"/>
      <c r="U89" s="3"/>
      <c r="V89" s="3"/>
      <c r="W89" s="3"/>
      <c r="X89" s="3"/>
      <c r="Z89" t="e">
        <f>VLOOKUP(A89,[1]Worksheet!$A$1:$A$510,1,0)</f>
        <v>#N/A</v>
      </c>
      <c r="AA89">
        <f t="shared" si="1"/>
        <v>1</v>
      </c>
    </row>
    <row r="90" spans="1:27" x14ac:dyDescent="0.3">
      <c r="A90" s="1">
        <v>553</v>
      </c>
      <c r="B90" s="1" t="s">
        <v>1161</v>
      </c>
      <c r="C90" s="1" t="s">
        <v>47</v>
      </c>
      <c r="D90" s="1" t="s">
        <v>549</v>
      </c>
      <c r="E90" s="1" t="s">
        <v>44</v>
      </c>
      <c r="F90" s="1" t="s">
        <v>53</v>
      </c>
      <c r="G90" s="1" t="s">
        <v>30</v>
      </c>
      <c r="H90" s="1" t="s">
        <v>31</v>
      </c>
      <c r="I90" s="1">
        <v>80</v>
      </c>
      <c r="J90" s="1" t="s">
        <v>1162</v>
      </c>
      <c r="K90" s="1" t="s">
        <v>33</v>
      </c>
      <c r="L90" s="1" t="s">
        <v>33</v>
      </c>
      <c r="M90" s="1" t="s">
        <v>34</v>
      </c>
      <c r="N90" s="4">
        <v>83</v>
      </c>
      <c r="O90" s="3"/>
      <c r="P90" s="3"/>
      <c r="Q90" s="3"/>
      <c r="R90" s="3"/>
      <c r="S90" s="3"/>
      <c r="T90" s="3"/>
      <c r="U90" s="3"/>
      <c r="V90" s="3"/>
      <c r="W90" s="3"/>
      <c r="X90" s="3"/>
      <c r="Z90" t="e">
        <f>VLOOKUP(A90,[1]Worksheet!$A$1:$A$510,1,0)</f>
        <v>#N/A</v>
      </c>
      <c r="AA90">
        <f t="shared" si="1"/>
        <v>1</v>
      </c>
    </row>
    <row r="91" spans="1:27" x14ac:dyDescent="0.3">
      <c r="A91" s="1">
        <v>556</v>
      </c>
      <c r="B91" s="1" t="s">
        <v>1167</v>
      </c>
      <c r="C91" s="1" t="s">
        <v>47</v>
      </c>
      <c r="D91" s="1" t="s">
        <v>39</v>
      </c>
      <c r="E91" s="1" t="s">
        <v>28</v>
      </c>
      <c r="F91" s="1" t="s">
        <v>53</v>
      </c>
      <c r="G91" s="1" t="s">
        <v>30</v>
      </c>
      <c r="H91" s="1" t="s">
        <v>31</v>
      </c>
      <c r="I91" s="1" t="s">
        <v>117</v>
      </c>
      <c r="J91" s="1" t="s">
        <v>1168</v>
      </c>
      <c r="K91" s="1" t="s">
        <v>33</v>
      </c>
      <c r="L91" s="1" t="s">
        <v>33</v>
      </c>
      <c r="M91" s="1" t="s">
        <v>34</v>
      </c>
      <c r="N91" s="8">
        <v>113.75</v>
      </c>
      <c r="O91" s="3"/>
      <c r="P91" s="3"/>
      <c r="Q91" s="3"/>
      <c r="R91" s="3"/>
      <c r="S91" s="3"/>
      <c r="T91" s="3"/>
      <c r="U91" s="3"/>
      <c r="V91" s="3"/>
      <c r="W91" s="3"/>
      <c r="X91" s="3"/>
      <c r="Z91" t="e">
        <f>VLOOKUP(A91,[1]Worksheet!$A$1:$A$510,1,0)</f>
        <v>#N/A</v>
      </c>
      <c r="AA91">
        <f t="shared" si="1"/>
        <v>1</v>
      </c>
    </row>
    <row r="92" spans="1:27" hidden="1" x14ac:dyDescent="0.3">
      <c r="A92" s="1">
        <v>290</v>
      </c>
      <c r="B92" s="1" t="s">
        <v>399</v>
      </c>
      <c r="C92" s="1" t="s">
        <v>47</v>
      </c>
      <c r="D92" s="1" t="s">
        <v>400</v>
      </c>
      <c r="E92" s="1" t="s">
        <v>28</v>
      </c>
      <c r="F92" s="1" t="s">
        <v>401</v>
      </c>
      <c r="G92" s="1" t="s">
        <v>30</v>
      </c>
      <c r="H92" s="1" t="s">
        <v>153</v>
      </c>
      <c r="I92" s="1"/>
      <c r="J92" s="1" t="s">
        <v>402</v>
      </c>
      <c r="K92" s="1" t="s">
        <v>155</v>
      </c>
      <c r="L92" s="1" t="s">
        <v>34</v>
      </c>
      <c r="M92" s="1" t="s">
        <v>34</v>
      </c>
      <c r="N92" s="6">
        <v>88.89</v>
      </c>
      <c r="O92" s="3"/>
      <c r="P92" s="5">
        <v>100</v>
      </c>
      <c r="Q92" s="5">
        <v>100</v>
      </c>
      <c r="R92" s="5">
        <v>100</v>
      </c>
      <c r="S92" s="6">
        <v>80</v>
      </c>
      <c r="T92" s="5">
        <v>100</v>
      </c>
      <c r="U92" s="5">
        <v>100</v>
      </c>
      <c r="V92" s="5">
        <v>100</v>
      </c>
      <c r="W92" s="5">
        <v>100</v>
      </c>
      <c r="X92" s="5">
        <v>100</v>
      </c>
      <c r="Y92" s="4">
        <v>91.666666666666657</v>
      </c>
      <c r="Z92">
        <f>VLOOKUP(A92,[1]Worksheet!$A$1:$A$510,1,0)</f>
        <v>290</v>
      </c>
      <c r="AA92">
        <f t="shared" si="1"/>
        <v>1</v>
      </c>
    </row>
    <row r="93" spans="1:27" hidden="1" x14ac:dyDescent="0.3">
      <c r="A93" s="1">
        <v>77</v>
      </c>
      <c r="B93" s="1" t="s">
        <v>46</v>
      </c>
      <c r="C93" s="1" t="s">
        <v>47</v>
      </c>
      <c r="D93" s="1" t="s">
        <v>48</v>
      </c>
      <c r="E93" s="1" t="s">
        <v>44</v>
      </c>
      <c r="F93" s="1" t="s">
        <v>49</v>
      </c>
      <c r="G93" s="1" t="s">
        <v>30</v>
      </c>
      <c r="H93" s="1" t="s">
        <v>31</v>
      </c>
      <c r="I93" s="1">
        <v>97</v>
      </c>
      <c r="J93" s="1" t="s">
        <v>50</v>
      </c>
      <c r="K93" s="1" t="s">
        <v>33</v>
      </c>
      <c r="L93" s="1" t="s">
        <v>33</v>
      </c>
      <c r="M93" s="1" t="s">
        <v>34</v>
      </c>
      <c r="N93" s="6">
        <v>95.4</v>
      </c>
      <c r="O93" s="6">
        <v>93.4</v>
      </c>
      <c r="P93" s="4">
        <v>97.7</v>
      </c>
      <c r="Q93" s="4">
        <v>98.4</v>
      </c>
      <c r="R93" s="4">
        <v>97.1</v>
      </c>
      <c r="S93" s="4">
        <v>98.7</v>
      </c>
      <c r="T93" s="6">
        <v>96.2</v>
      </c>
      <c r="U93" s="4">
        <v>97</v>
      </c>
      <c r="V93" s="6">
        <v>87.7</v>
      </c>
      <c r="W93" s="4">
        <v>97</v>
      </c>
      <c r="X93" s="6">
        <v>94</v>
      </c>
      <c r="Y93" s="6">
        <v>96</v>
      </c>
      <c r="Z93">
        <f>VLOOKUP(A93,[1]Worksheet!$A$1:$A$510,1,0)</f>
        <v>77</v>
      </c>
      <c r="AA93">
        <f t="shared" si="1"/>
        <v>1</v>
      </c>
    </row>
    <row r="94" spans="1:27" hidden="1" x14ac:dyDescent="0.3">
      <c r="A94" s="1">
        <v>121</v>
      </c>
      <c r="B94" s="1" t="s">
        <v>98</v>
      </c>
      <c r="C94" s="1" t="s">
        <v>26</v>
      </c>
      <c r="D94" s="1" t="s">
        <v>39</v>
      </c>
      <c r="E94" s="1" t="s">
        <v>40</v>
      </c>
      <c r="F94" s="1" t="s">
        <v>49</v>
      </c>
      <c r="G94" s="1" t="s">
        <v>41</v>
      </c>
      <c r="H94" s="1" t="s">
        <v>31</v>
      </c>
      <c r="I94" s="1">
        <v>100</v>
      </c>
      <c r="J94" s="1" t="s">
        <v>99</v>
      </c>
      <c r="K94" s="1" t="s">
        <v>33</v>
      </c>
      <c r="L94" s="1" t="s">
        <v>33</v>
      </c>
      <c r="M94" s="1" t="s">
        <v>34</v>
      </c>
      <c r="N94" s="6">
        <v>104.92</v>
      </c>
      <c r="O94" s="6">
        <v>106.53</v>
      </c>
      <c r="P94" s="6">
        <v>107.27</v>
      </c>
      <c r="Q94" s="4">
        <v>99.29</v>
      </c>
      <c r="R94" s="4">
        <v>100.68</v>
      </c>
      <c r="S94" s="6">
        <v>112.24</v>
      </c>
      <c r="T94" s="6">
        <v>110.06</v>
      </c>
      <c r="U94" s="6">
        <v>114.9</v>
      </c>
      <c r="V94" s="6">
        <v>106</v>
      </c>
      <c r="W94" s="6">
        <v>106.77</v>
      </c>
      <c r="X94" s="6">
        <v>107.66</v>
      </c>
      <c r="Y94" s="4">
        <v>99.18</v>
      </c>
      <c r="Z94">
        <f>VLOOKUP(A94,[1]Worksheet!$A$1:$A$510,1,0)</f>
        <v>121</v>
      </c>
      <c r="AA94">
        <f t="shared" si="1"/>
        <v>1</v>
      </c>
    </row>
    <row r="95" spans="1:27" hidden="1" x14ac:dyDescent="0.3">
      <c r="A95" s="1">
        <v>122</v>
      </c>
      <c r="B95" s="1" t="s">
        <v>100</v>
      </c>
      <c r="C95" s="1" t="s">
        <v>26</v>
      </c>
      <c r="D95" s="1" t="s">
        <v>96</v>
      </c>
      <c r="E95" s="1" t="s">
        <v>28</v>
      </c>
      <c r="F95" s="1" t="s">
        <v>49</v>
      </c>
      <c r="G95" s="1" t="s">
        <v>30</v>
      </c>
      <c r="H95" s="1" t="s">
        <v>31</v>
      </c>
      <c r="I95" s="1">
        <v>80</v>
      </c>
      <c r="J95" s="1" t="s">
        <v>101</v>
      </c>
      <c r="K95" s="1" t="s">
        <v>33</v>
      </c>
      <c r="L95" s="1" t="s">
        <v>33</v>
      </c>
      <c r="M95" s="1" t="s">
        <v>34</v>
      </c>
      <c r="N95" s="5">
        <v>100</v>
      </c>
      <c r="O95" s="4">
        <v>90</v>
      </c>
      <c r="P95" s="6">
        <v>88.89</v>
      </c>
      <c r="Q95" s="6">
        <v>81.819999999999993</v>
      </c>
      <c r="R95" s="7">
        <v>57.89</v>
      </c>
      <c r="S95" s="6">
        <v>78.260000000000005</v>
      </c>
      <c r="T95" s="7">
        <v>43.48</v>
      </c>
      <c r="U95" s="3" t="s">
        <v>59</v>
      </c>
      <c r="V95" s="5">
        <v>100</v>
      </c>
      <c r="W95" s="3" t="s">
        <v>59</v>
      </c>
      <c r="X95" s="5">
        <v>100</v>
      </c>
      <c r="Y95" s="3" t="s">
        <v>59</v>
      </c>
      <c r="Z95">
        <f>VLOOKUP(A95,[1]Worksheet!$A$1:$A$510,1,0)</f>
        <v>122</v>
      </c>
      <c r="AA95">
        <f t="shared" si="1"/>
        <v>1</v>
      </c>
    </row>
    <row r="96" spans="1:27" hidden="1" x14ac:dyDescent="0.3">
      <c r="A96" s="1">
        <v>124</v>
      </c>
      <c r="B96" s="1" t="s">
        <v>102</v>
      </c>
      <c r="C96" s="1" t="s">
        <v>26</v>
      </c>
      <c r="D96" s="1" t="s">
        <v>52</v>
      </c>
      <c r="E96" s="1" t="s">
        <v>28</v>
      </c>
      <c r="F96" s="1" t="s">
        <v>49</v>
      </c>
      <c r="G96" s="1" t="s">
        <v>41</v>
      </c>
      <c r="H96" s="1" t="s">
        <v>31</v>
      </c>
      <c r="I96" s="1">
        <v>0.2</v>
      </c>
      <c r="J96" s="1" t="s">
        <v>103</v>
      </c>
      <c r="K96" s="1" t="s">
        <v>33</v>
      </c>
      <c r="L96" s="1" t="s">
        <v>33</v>
      </c>
      <c r="M96" s="1" t="s">
        <v>34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0.08</v>
      </c>
      <c r="T96" s="5">
        <v>0</v>
      </c>
      <c r="U96" s="5">
        <v>0.06</v>
      </c>
      <c r="V96" s="5">
        <v>0</v>
      </c>
      <c r="W96" s="5">
        <v>0.06</v>
      </c>
      <c r="X96" s="5">
        <v>0</v>
      </c>
      <c r="Y96" s="5">
        <v>9.1157702825888781E-2</v>
      </c>
      <c r="Z96">
        <f>VLOOKUP(A96,[1]Worksheet!$A$1:$A$510,1,0)</f>
        <v>124</v>
      </c>
      <c r="AA96">
        <f t="shared" si="1"/>
        <v>1</v>
      </c>
    </row>
    <row r="97" spans="1:27" hidden="1" x14ac:dyDescent="0.3">
      <c r="A97" s="1">
        <v>125</v>
      </c>
      <c r="B97" s="1" t="s">
        <v>104</v>
      </c>
      <c r="C97" s="1" t="s">
        <v>26</v>
      </c>
      <c r="D97" s="1" t="s">
        <v>52</v>
      </c>
      <c r="E97" s="1" t="s">
        <v>40</v>
      </c>
      <c r="F97" s="1" t="s">
        <v>49</v>
      </c>
      <c r="G97" s="1" t="s">
        <v>41</v>
      </c>
      <c r="H97" s="1" t="s">
        <v>31</v>
      </c>
      <c r="I97" s="1">
        <v>4.7</v>
      </c>
      <c r="J97" s="1" t="s">
        <v>105</v>
      </c>
      <c r="K97" s="1" t="s">
        <v>33</v>
      </c>
      <c r="L97" s="1" t="s">
        <v>33</v>
      </c>
      <c r="M97" s="1" t="s">
        <v>34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0.25</v>
      </c>
      <c r="T97" s="5">
        <v>0</v>
      </c>
      <c r="U97" s="5">
        <v>0.24</v>
      </c>
      <c r="V97" s="5">
        <v>0</v>
      </c>
      <c r="W97" s="5">
        <v>0.45</v>
      </c>
      <c r="X97" s="5">
        <v>0</v>
      </c>
      <c r="Y97" s="5">
        <v>0.27347310847766643</v>
      </c>
      <c r="Z97">
        <f>VLOOKUP(A97,[1]Worksheet!$A$1:$A$510,1,0)</f>
        <v>125</v>
      </c>
      <c r="AA97">
        <f t="shared" si="1"/>
        <v>1</v>
      </c>
    </row>
    <row r="98" spans="1:27" hidden="1" x14ac:dyDescent="0.3">
      <c r="A98" s="1">
        <v>128</v>
      </c>
      <c r="B98" s="1" t="s">
        <v>110</v>
      </c>
      <c r="C98" s="1" t="s">
        <v>26</v>
      </c>
      <c r="D98" s="1" t="s">
        <v>52</v>
      </c>
      <c r="E98" s="1" t="s">
        <v>40</v>
      </c>
      <c r="F98" s="1" t="s">
        <v>49</v>
      </c>
      <c r="G98" s="1" t="s">
        <v>41</v>
      </c>
      <c r="H98" s="1" t="s">
        <v>31</v>
      </c>
      <c r="I98" s="1">
        <v>1</v>
      </c>
      <c r="J98" s="1" t="s">
        <v>111</v>
      </c>
      <c r="K98" s="1" t="s">
        <v>33</v>
      </c>
      <c r="L98" s="1" t="s">
        <v>33</v>
      </c>
      <c r="M98" s="1" t="s">
        <v>34</v>
      </c>
      <c r="N98" s="4">
        <v>0.97</v>
      </c>
      <c r="O98" s="4">
        <v>0.95</v>
      </c>
      <c r="P98" s="5">
        <v>0.69</v>
      </c>
      <c r="Q98" s="5">
        <v>0.72</v>
      </c>
      <c r="R98" s="4">
        <v>0.97</v>
      </c>
      <c r="S98" s="4">
        <v>0.98</v>
      </c>
      <c r="T98" s="4">
        <v>0.97</v>
      </c>
      <c r="U98" s="5">
        <v>0.88</v>
      </c>
      <c r="V98" s="4">
        <v>0.94</v>
      </c>
      <c r="W98" s="4">
        <v>0.96</v>
      </c>
      <c r="X98" s="4">
        <v>0.99</v>
      </c>
      <c r="Y98" s="5">
        <v>0.86</v>
      </c>
      <c r="Z98">
        <f>VLOOKUP(A98,[1]Worksheet!$A$1:$A$510,1,0)</f>
        <v>128</v>
      </c>
      <c r="AA98">
        <f t="shared" si="1"/>
        <v>1</v>
      </c>
    </row>
    <row r="99" spans="1:27" hidden="1" x14ac:dyDescent="0.3">
      <c r="A99" s="1">
        <v>172</v>
      </c>
      <c r="B99" s="1" t="s">
        <v>138</v>
      </c>
      <c r="C99" s="1" t="s">
        <v>26</v>
      </c>
      <c r="D99" s="1" t="s">
        <v>96</v>
      </c>
      <c r="E99" s="1" t="s">
        <v>28</v>
      </c>
      <c r="F99" s="1" t="s">
        <v>49</v>
      </c>
      <c r="G99" s="1" t="s">
        <v>30</v>
      </c>
      <c r="H99" s="1" t="s">
        <v>31</v>
      </c>
      <c r="I99" s="1">
        <v>95</v>
      </c>
      <c r="J99" s="1" t="s">
        <v>139</v>
      </c>
      <c r="K99" s="1" t="s">
        <v>33</v>
      </c>
      <c r="L99" s="1" t="s">
        <v>33</v>
      </c>
      <c r="M99" s="1" t="s">
        <v>34</v>
      </c>
      <c r="N99" s="5">
        <v>98.44</v>
      </c>
      <c r="O99" s="5">
        <v>96.77</v>
      </c>
      <c r="P99" s="5">
        <v>98.21</v>
      </c>
      <c r="Q99" s="6">
        <v>89.8</v>
      </c>
      <c r="R99" s="6">
        <v>86.36</v>
      </c>
      <c r="S99" s="6">
        <v>91.43</v>
      </c>
      <c r="T99" s="6">
        <v>81.819999999999993</v>
      </c>
      <c r="U99" s="4">
        <v>95.65</v>
      </c>
      <c r="V99" s="6">
        <v>88.89</v>
      </c>
      <c r="W99" s="6">
        <v>83.33</v>
      </c>
      <c r="X99" s="5">
        <v>100</v>
      </c>
      <c r="Y99" s="6">
        <v>80</v>
      </c>
      <c r="Z99">
        <f>VLOOKUP(A99,[1]Worksheet!$A$1:$A$510,1,0)</f>
        <v>172</v>
      </c>
      <c r="AA99">
        <f t="shared" si="1"/>
        <v>1</v>
      </c>
    </row>
    <row r="100" spans="1:27" hidden="1" x14ac:dyDescent="0.3">
      <c r="A100" s="1">
        <v>208</v>
      </c>
      <c r="B100" s="1" t="s">
        <v>170</v>
      </c>
      <c r="C100" s="1" t="s">
        <v>26</v>
      </c>
      <c r="D100" s="1" t="s">
        <v>93</v>
      </c>
      <c r="E100" s="1" t="s">
        <v>40</v>
      </c>
      <c r="F100" s="1" t="s">
        <v>49</v>
      </c>
      <c r="G100" s="1" t="s">
        <v>41</v>
      </c>
      <c r="H100" s="1" t="s">
        <v>153</v>
      </c>
      <c r="I100" s="1">
        <v>1700</v>
      </c>
      <c r="J100" s="1" t="s">
        <v>171</v>
      </c>
      <c r="K100" s="1" t="s">
        <v>155</v>
      </c>
      <c r="L100" s="1" t="s">
        <v>34</v>
      </c>
      <c r="M100" s="1" t="s">
        <v>34</v>
      </c>
      <c r="N100" s="5">
        <v>1059</v>
      </c>
      <c r="O100" s="5">
        <v>1126</v>
      </c>
      <c r="P100" s="5">
        <v>1260.5</v>
      </c>
      <c r="Q100" s="5">
        <v>1352</v>
      </c>
      <c r="R100" s="5">
        <v>1261</v>
      </c>
      <c r="S100" s="5">
        <v>1043.5</v>
      </c>
      <c r="T100" s="5">
        <v>1408.5</v>
      </c>
      <c r="U100" s="5">
        <v>1440.5</v>
      </c>
      <c r="V100" s="5">
        <v>1271</v>
      </c>
      <c r="W100" s="5">
        <v>1309.5</v>
      </c>
      <c r="X100" s="5">
        <v>1123</v>
      </c>
      <c r="Y100" s="5">
        <v>800</v>
      </c>
      <c r="Z100">
        <f>VLOOKUP(A100,[1]Worksheet!$A$1:$A$510,1,0)</f>
        <v>208</v>
      </c>
      <c r="AA100">
        <f t="shared" si="1"/>
        <v>1</v>
      </c>
    </row>
    <row r="101" spans="1:27" hidden="1" x14ac:dyDescent="0.3">
      <c r="A101" s="1">
        <v>214</v>
      </c>
      <c r="B101" s="1" t="s">
        <v>203</v>
      </c>
      <c r="C101" s="1" t="s">
        <v>26</v>
      </c>
      <c r="D101" s="1" t="s">
        <v>93</v>
      </c>
      <c r="E101" s="1" t="s">
        <v>40</v>
      </c>
      <c r="F101" s="1" t="s">
        <v>49</v>
      </c>
      <c r="G101" s="1" t="s">
        <v>41</v>
      </c>
      <c r="H101" s="1" t="s">
        <v>153</v>
      </c>
      <c r="I101" s="1">
        <v>7500</v>
      </c>
      <c r="J101" s="1" t="s">
        <v>204</v>
      </c>
      <c r="K101" s="1" t="s">
        <v>155</v>
      </c>
      <c r="L101" s="1" t="s">
        <v>34</v>
      </c>
      <c r="M101" s="1" t="s">
        <v>34</v>
      </c>
      <c r="N101" s="5">
        <v>2169.54</v>
      </c>
      <c r="O101" s="5">
        <v>5264</v>
      </c>
      <c r="P101" s="5">
        <v>3998.57</v>
      </c>
      <c r="Q101" s="5">
        <v>5321.59</v>
      </c>
      <c r="R101" s="5">
        <v>5120.88</v>
      </c>
      <c r="S101" s="5">
        <v>2456.83</v>
      </c>
      <c r="T101" s="5">
        <v>2630.16</v>
      </c>
      <c r="U101" s="5">
        <v>5499.51</v>
      </c>
      <c r="V101" s="5">
        <v>5312.64</v>
      </c>
      <c r="W101" s="5">
        <v>6477.26</v>
      </c>
      <c r="X101" s="5">
        <v>5016.83</v>
      </c>
      <c r="Y101" s="5">
        <v>2054.7600000000002</v>
      </c>
      <c r="Z101">
        <f>VLOOKUP(A101,[1]Worksheet!$A$1:$A$510,1,0)</f>
        <v>214</v>
      </c>
      <c r="AA101">
        <f t="shared" si="1"/>
        <v>1</v>
      </c>
    </row>
    <row r="102" spans="1:27" hidden="1" x14ac:dyDescent="0.3">
      <c r="A102" s="1">
        <v>217</v>
      </c>
      <c r="B102" s="1" t="s">
        <v>210</v>
      </c>
      <c r="C102" s="1" t="s">
        <v>47</v>
      </c>
      <c r="D102" s="1" t="s">
        <v>93</v>
      </c>
      <c r="E102" s="1" t="s">
        <v>40</v>
      </c>
      <c r="F102" s="1" t="s">
        <v>49</v>
      </c>
      <c r="G102" s="1" t="s">
        <v>30</v>
      </c>
      <c r="H102" s="1" t="s">
        <v>153</v>
      </c>
      <c r="I102" s="1">
        <v>20</v>
      </c>
      <c r="J102" s="1" t="s">
        <v>211</v>
      </c>
      <c r="K102" s="1" t="s">
        <v>155</v>
      </c>
      <c r="L102" s="1" t="s">
        <v>34</v>
      </c>
      <c r="M102" s="1" t="s">
        <v>34</v>
      </c>
      <c r="N102" s="5">
        <v>48.34</v>
      </c>
      <c r="O102" s="5">
        <v>229.04</v>
      </c>
      <c r="P102" s="5">
        <v>148.5</v>
      </c>
      <c r="Q102" s="5">
        <v>39.5</v>
      </c>
      <c r="R102" s="4">
        <v>27.45</v>
      </c>
      <c r="S102" s="5">
        <v>50.5</v>
      </c>
      <c r="T102" s="5">
        <v>48.94</v>
      </c>
      <c r="U102" s="4">
        <v>29.8</v>
      </c>
      <c r="V102" s="5">
        <v>45.35</v>
      </c>
      <c r="W102" s="4">
        <v>27.57</v>
      </c>
      <c r="X102" s="5">
        <v>42.89</v>
      </c>
      <c r="Y102" s="5">
        <v>139.19</v>
      </c>
      <c r="Z102">
        <f>VLOOKUP(A102,[1]Worksheet!$A$1:$A$510,1,0)</f>
        <v>217</v>
      </c>
      <c r="AA102">
        <f t="shared" si="1"/>
        <v>1</v>
      </c>
    </row>
    <row r="103" spans="1:27" hidden="1" x14ac:dyDescent="0.3">
      <c r="A103" s="1">
        <v>218</v>
      </c>
      <c r="B103" s="1" t="s">
        <v>212</v>
      </c>
      <c r="C103" s="1" t="s">
        <v>26</v>
      </c>
      <c r="D103" s="1" t="s">
        <v>93</v>
      </c>
      <c r="E103" s="1" t="s">
        <v>28</v>
      </c>
      <c r="F103" s="1" t="s">
        <v>49</v>
      </c>
      <c r="G103" s="1" t="s">
        <v>41</v>
      </c>
      <c r="H103" s="1" t="s">
        <v>153</v>
      </c>
      <c r="I103" s="1">
        <v>172000</v>
      </c>
      <c r="J103" s="1" t="s">
        <v>213</v>
      </c>
      <c r="K103" s="1" t="s">
        <v>155</v>
      </c>
      <c r="L103" s="1" t="s">
        <v>34</v>
      </c>
      <c r="M103" s="1" t="s">
        <v>34</v>
      </c>
      <c r="N103" s="5">
        <v>123820.04</v>
      </c>
      <c r="O103" s="5">
        <v>143419.75</v>
      </c>
      <c r="P103" s="5">
        <v>150485.75</v>
      </c>
      <c r="Q103" s="5">
        <v>154601.59</v>
      </c>
      <c r="R103" s="5">
        <v>142618.62</v>
      </c>
      <c r="S103" s="5">
        <v>126471.65</v>
      </c>
      <c r="T103" s="5">
        <v>130528.88</v>
      </c>
      <c r="U103" s="5">
        <v>146327.63</v>
      </c>
      <c r="V103" s="5">
        <v>139469.85</v>
      </c>
      <c r="W103" s="5">
        <v>156103.54</v>
      </c>
      <c r="X103" s="5">
        <v>134763.39000000001</v>
      </c>
      <c r="Y103" s="5">
        <v>113367.97</v>
      </c>
      <c r="Z103">
        <f>VLOOKUP(A103,[1]Worksheet!$A$1:$A$510,1,0)</f>
        <v>218</v>
      </c>
      <c r="AA103">
        <f t="shared" si="1"/>
        <v>1</v>
      </c>
    </row>
    <row r="104" spans="1:27" hidden="1" x14ac:dyDescent="0.3">
      <c r="A104" s="1">
        <v>225</v>
      </c>
      <c r="B104" s="1" t="s">
        <v>232</v>
      </c>
      <c r="C104" s="1" t="s">
        <v>26</v>
      </c>
      <c r="D104" s="1" t="s">
        <v>93</v>
      </c>
      <c r="E104" s="1" t="s">
        <v>40</v>
      </c>
      <c r="F104" s="1" t="s">
        <v>49</v>
      </c>
      <c r="G104" s="1" t="s">
        <v>30</v>
      </c>
      <c r="H104" s="1" t="s">
        <v>153</v>
      </c>
      <c r="I104" s="1">
        <v>1</v>
      </c>
      <c r="J104" s="1" t="s">
        <v>233</v>
      </c>
      <c r="K104" s="1" t="s">
        <v>223</v>
      </c>
      <c r="L104" s="1" t="s">
        <v>34</v>
      </c>
      <c r="M104" s="1" t="s">
        <v>34</v>
      </c>
      <c r="N104" s="4">
        <v>0</v>
      </c>
      <c r="O104" s="3"/>
      <c r="P104" s="4">
        <v>0</v>
      </c>
      <c r="Q104" s="5">
        <v>19</v>
      </c>
      <c r="R104" s="5">
        <v>17</v>
      </c>
      <c r="S104" s="5">
        <v>18</v>
      </c>
      <c r="T104" s="5">
        <v>26</v>
      </c>
      <c r="U104" s="5">
        <v>28</v>
      </c>
      <c r="V104" s="5">
        <v>26</v>
      </c>
      <c r="W104" s="5">
        <v>21</v>
      </c>
      <c r="X104" s="5">
        <v>20</v>
      </c>
      <c r="Y104" s="5">
        <v>22</v>
      </c>
      <c r="Z104">
        <f>VLOOKUP(A104,[1]Worksheet!$A$1:$A$510,1,0)</f>
        <v>225</v>
      </c>
      <c r="AA104">
        <f t="shared" si="1"/>
        <v>1</v>
      </c>
    </row>
    <row r="105" spans="1:27" hidden="1" x14ac:dyDescent="0.3">
      <c r="A105" s="1">
        <v>239</v>
      </c>
      <c r="B105" s="1" t="s">
        <v>272</v>
      </c>
      <c r="C105" s="1" t="s">
        <v>26</v>
      </c>
      <c r="D105" s="1" t="s">
        <v>273</v>
      </c>
      <c r="E105" s="1" t="s">
        <v>116</v>
      </c>
      <c r="F105" s="1" t="s">
        <v>49</v>
      </c>
      <c r="G105" s="1" t="s">
        <v>30</v>
      </c>
      <c r="H105" s="1" t="s">
        <v>153</v>
      </c>
      <c r="I105" s="1" t="s">
        <v>117</v>
      </c>
      <c r="J105" s="1" t="s">
        <v>274</v>
      </c>
      <c r="K105" s="1" t="s">
        <v>223</v>
      </c>
      <c r="L105" s="1" t="s">
        <v>34</v>
      </c>
      <c r="M105" s="1" t="s">
        <v>34</v>
      </c>
      <c r="N105" s="8">
        <v>44</v>
      </c>
      <c r="O105" s="8">
        <v>43</v>
      </c>
      <c r="P105" s="8">
        <v>43</v>
      </c>
      <c r="Q105" s="8">
        <v>43</v>
      </c>
      <c r="R105" s="8">
        <v>41</v>
      </c>
      <c r="S105" s="8">
        <v>42</v>
      </c>
      <c r="T105" s="8">
        <v>41</v>
      </c>
      <c r="U105" s="8">
        <v>42</v>
      </c>
      <c r="V105" s="8">
        <v>40</v>
      </c>
      <c r="W105" s="8">
        <v>42</v>
      </c>
      <c r="X105" s="8">
        <v>0</v>
      </c>
      <c r="Y105" s="8">
        <v>33</v>
      </c>
      <c r="Z105">
        <f>VLOOKUP(A105,[1]Worksheet!$A$1:$A$510,1,0)</f>
        <v>239</v>
      </c>
      <c r="AA105">
        <f t="shared" si="1"/>
        <v>1</v>
      </c>
    </row>
    <row r="106" spans="1:27" hidden="1" x14ac:dyDescent="0.3">
      <c r="A106" s="1">
        <v>241</v>
      </c>
      <c r="B106" s="1" t="s">
        <v>287</v>
      </c>
      <c r="C106" s="1" t="s">
        <v>26</v>
      </c>
      <c r="D106" s="1" t="s">
        <v>273</v>
      </c>
      <c r="E106" s="1" t="s">
        <v>28</v>
      </c>
      <c r="F106" s="1" t="s">
        <v>49</v>
      </c>
      <c r="G106" s="1" t="s">
        <v>30</v>
      </c>
      <c r="H106" s="1" t="s">
        <v>31</v>
      </c>
      <c r="I106" s="1"/>
      <c r="J106" s="1" t="s">
        <v>288</v>
      </c>
      <c r="K106" s="1" t="s">
        <v>33</v>
      </c>
      <c r="L106" s="1" t="s">
        <v>33</v>
      </c>
      <c r="M106" s="1" t="s">
        <v>34</v>
      </c>
      <c r="N106" s="3"/>
      <c r="O106" s="3"/>
      <c r="P106" s="3"/>
      <c r="Q106" s="4">
        <v>100</v>
      </c>
      <c r="R106" s="4">
        <v>100</v>
      </c>
      <c r="S106" s="4">
        <v>100</v>
      </c>
      <c r="T106" s="4">
        <v>100</v>
      </c>
      <c r="U106" s="4">
        <v>100</v>
      </c>
      <c r="V106" s="4">
        <v>100</v>
      </c>
      <c r="W106" s="4">
        <v>100</v>
      </c>
      <c r="X106" s="4">
        <v>100</v>
      </c>
      <c r="Y106" s="4">
        <v>100</v>
      </c>
      <c r="Z106">
        <f>VLOOKUP(A106,[1]Worksheet!$A$1:$A$510,1,0)</f>
        <v>241</v>
      </c>
      <c r="AA106">
        <f t="shared" si="1"/>
        <v>1</v>
      </c>
    </row>
    <row r="107" spans="1:27" hidden="1" x14ac:dyDescent="0.3">
      <c r="A107" s="1">
        <v>434</v>
      </c>
      <c r="B107" s="1" t="s">
        <v>799</v>
      </c>
      <c r="C107" s="1" t="s">
        <v>26</v>
      </c>
      <c r="D107" s="1" t="s">
        <v>93</v>
      </c>
      <c r="E107" s="1" t="s">
        <v>40</v>
      </c>
      <c r="F107" s="1" t="s">
        <v>49</v>
      </c>
      <c r="G107" s="1" t="s">
        <v>41</v>
      </c>
      <c r="H107" s="1" t="s">
        <v>153</v>
      </c>
      <c r="I107" s="1">
        <v>200</v>
      </c>
      <c r="J107" s="1" t="s">
        <v>800</v>
      </c>
      <c r="K107" s="1" t="s">
        <v>155</v>
      </c>
      <c r="L107" s="1" t="s">
        <v>34</v>
      </c>
      <c r="M107" s="1" t="s">
        <v>34</v>
      </c>
      <c r="N107" s="3"/>
      <c r="O107" s="7">
        <v>285.14999999999998</v>
      </c>
      <c r="P107" s="7">
        <v>4524.46</v>
      </c>
      <c r="Q107" s="5">
        <v>109.73</v>
      </c>
      <c r="R107" s="5">
        <v>84.75</v>
      </c>
      <c r="S107" s="7">
        <v>312.11</v>
      </c>
      <c r="T107" s="5">
        <v>130.58000000000001</v>
      </c>
      <c r="U107" s="5">
        <v>12.6</v>
      </c>
      <c r="V107" s="5">
        <v>126.74</v>
      </c>
      <c r="W107" s="5">
        <v>53.29</v>
      </c>
      <c r="X107" s="5">
        <v>71.680000000000007</v>
      </c>
      <c r="Y107" s="7">
        <v>2072.4699999999998</v>
      </c>
      <c r="Z107">
        <f>VLOOKUP(A107,[1]Worksheet!$A$1:$A$510,1,0)</f>
        <v>434</v>
      </c>
      <c r="AA107">
        <f t="shared" si="1"/>
        <v>1</v>
      </c>
    </row>
    <row r="108" spans="1:27" hidden="1" x14ac:dyDescent="0.3">
      <c r="A108" s="1">
        <v>436</v>
      </c>
      <c r="B108" s="1" t="s">
        <v>803</v>
      </c>
      <c r="C108" s="1" t="s">
        <v>26</v>
      </c>
      <c r="D108" s="1" t="s">
        <v>96</v>
      </c>
      <c r="E108" s="1" t="s">
        <v>28</v>
      </c>
      <c r="F108" s="1" t="s">
        <v>49</v>
      </c>
      <c r="G108" s="1" t="s">
        <v>41</v>
      </c>
      <c r="H108" s="1" t="s">
        <v>153</v>
      </c>
      <c r="I108" s="1">
        <v>14</v>
      </c>
      <c r="J108" s="1" t="s">
        <v>804</v>
      </c>
      <c r="K108" s="1" t="s">
        <v>155</v>
      </c>
      <c r="L108" s="1" t="s">
        <v>34</v>
      </c>
      <c r="M108" s="1" t="s">
        <v>34</v>
      </c>
      <c r="N108" s="5">
        <v>11.77</v>
      </c>
      <c r="O108" s="5">
        <v>8.1199999999999992</v>
      </c>
      <c r="P108" s="6">
        <v>15.49</v>
      </c>
      <c r="Q108" s="5">
        <v>7.08</v>
      </c>
      <c r="R108" s="6">
        <v>14.17</v>
      </c>
      <c r="S108" s="4">
        <v>13.41</v>
      </c>
      <c r="T108" s="5">
        <v>11.93</v>
      </c>
      <c r="U108" s="5">
        <v>10.17</v>
      </c>
      <c r="V108" s="5">
        <v>6.4</v>
      </c>
      <c r="W108" s="5">
        <v>10.6</v>
      </c>
      <c r="X108" s="5">
        <v>3.34</v>
      </c>
      <c r="Y108" s="5">
        <v>9.1999999999999993</v>
      </c>
      <c r="Z108">
        <f>VLOOKUP(A108,[1]Worksheet!$A$1:$A$510,1,0)</f>
        <v>436</v>
      </c>
      <c r="AA108">
        <f t="shared" si="1"/>
        <v>1</v>
      </c>
    </row>
    <row r="109" spans="1:27" x14ac:dyDescent="0.3">
      <c r="A109" s="1">
        <v>485</v>
      </c>
      <c r="B109" s="1" t="s">
        <v>922</v>
      </c>
      <c r="C109" s="1" t="s">
        <v>26</v>
      </c>
      <c r="D109" s="1" t="s">
        <v>96</v>
      </c>
      <c r="E109" s="1" t="s">
        <v>28</v>
      </c>
      <c r="F109" s="1" t="s">
        <v>49</v>
      </c>
      <c r="G109" s="1" t="s">
        <v>30</v>
      </c>
      <c r="H109" s="1" t="s">
        <v>153</v>
      </c>
      <c r="I109" s="1"/>
      <c r="J109" s="1" t="s">
        <v>923</v>
      </c>
      <c r="K109" s="1" t="s">
        <v>155</v>
      </c>
      <c r="L109" s="1" t="s">
        <v>34</v>
      </c>
      <c r="M109" s="1" t="s">
        <v>34</v>
      </c>
      <c r="N109" s="3" t="s">
        <v>59</v>
      </c>
      <c r="O109" s="5">
        <v>85.71</v>
      </c>
      <c r="P109" s="5">
        <v>100</v>
      </c>
      <c r="Q109" s="6">
        <v>62.5</v>
      </c>
      <c r="R109" s="3"/>
      <c r="S109" s="6">
        <v>66.67</v>
      </c>
      <c r="T109" s="6">
        <v>66.67</v>
      </c>
      <c r="U109" s="5">
        <v>100</v>
      </c>
      <c r="V109" s="5">
        <v>100</v>
      </c>
      <c r="W109" s="5">
        <v>100</v>
      </c>
      <c r="X109" s="7">
        <v>50</v>
      </c>
      <c r="Y109" s="5">
        <v>100</v>
      </c>
      <c r="Z109" t="e">
        <f>VLOOKUP(A109,[1]Worksheet!$A$1:$A$510,1,0)</f>
        <v>#N/A</v>
      </c>
      <c r="AA109">
        <f t="shared" si="1"/>
        <v>1</v>
      </c>
    </row>
    <row r="110" spans="1:27" x14ac:dyDescent="0.3">
      <c r="A110" s="1">
        <v>488</v>
      </c>
      <c r="B110" s="1" t="s">
        <v>935</v>
      </c>
      <c r="C110" s="1" t="s">
        <v>26</v>
      </c>
      <c r="D110" s="1" t="s">
        <v>96</v>
      </c>
      <c r="E110" s="1" t="s">
        <v>28</v>
      </c>
      <c r="F110" s="1" t="s">
        <v>49</v>
      </c>
      <c r="G110" s="1" t="s">
        <v>30</v>
      </c>
      <c r="H110" s="1" t="s">
        <v>153</v>
      </c>
      <c r="I110" s="1"/>
      <c r="J110" s="1" t="s">
        <v>936</v>
      </c>
      <c r="K110" s="1" t="s">
        <v>155</v>
      </c>
      <c r="L110" s="1" t="s">
        <v>34</v>
      </c>
      <c r="M110" s="1" t="s">
        <v>34</v>
      </c>
      <c r="N110" s="6">
        <v>76.739999999999995</v>
      </c>
      <c r="O110" s="6">
        <v>75</v>
      </c>
      <c r="P110" s="4">
        <v>85.59</v>
      </c>
      <c r="Q110" s="4">
        <v>86.89</v>
      </c>
      <c r="R110" s="6">
        <v>81.010000000000005</v>
      </c>
      <c r="S110" s="6">
        <v>83.54</v>
      </c>
      <c r="T110" s="7">
        <v>72.41</v>
      </c>
      <c r="U110" s="7">
        <v>67.86</v>
      </c>
      <c r="V110" s="7">
        <v>64.91</v>
      </c>
      <c r="W110" s="3" t="s">
        <v>59</v>
      </c>
      <c r="X110" s="6">
        <v>77.205882352941174</v>
      </c>
      <c r="Y110" s="6">
        <v>78.048780487804876</v>
      </c>
      <c r="Z110" t="e">
        <f>VLOOKUP(A110,[1]Worksheet!$A$1:$A$510,1,0)</f>
        <v>#N/A</v>
      </c>
      <c r="AA110">
        <f t="shared" si="1"/>
        <v>1</v>
      </c>
    </row>
    <row r="111" spans="1:27" x14ac:dyDescent="0.3">
      <c r="A111" s="1">
        <v>509</v>
      </c>
      <c r="B111" s="1" t="s">
        <v>974</v>
      </c>
      <c r="C111" s="1" t="s">
        <v>47</v>
      </c>
      <c r="D111" s="1" t="s">
        <v>273</v>
      </c>
      <c r="E111" s="1" t="s">
        <v>28</v>
      </c>
      <c r="F111" s="1" t="s">
        <v>49</v>
      </c>
      <c r="G111" s="1" t="s">
        <v>30</v>
      </c>
      <c r="H111" s="1" t="s">
        <v>153</v>
      </c>
      <c r="I111" s="1"/>
      <c r="J111" s="1" t="s">
        <v>975</v>
      </c>
      <c r="K111" s="1" t="s">
        <v>207</v>
      </c>
      <c r="L111" s="1" t="s">
        <v>34</v>
      </c>
      <c r="M111" s="1" t="s">
        <v>34</v>
      </c>
      <c r="N111" s="3"/>
      <c r="O111" s="3"/>
      <c r="P111" s="3"/>
      <c r="Q111" s="4">
        <v>96.67</v>
      </c>
      <c r="R111" s="4">
        <v>91.52</v>
      </c>
      <c r="S111" s="4">
        <v>96.04</v>
      </c>
      <c r="T111" s="5">
        <v>100.59</v>
      </c>
      <c r="U111" s="3"/>
      <c r="V111" s="3"/>
      <c r="W111" s="3"/>
      <c r="X111" s="3"/>
      <c r="Y111" s="4">
        <v>99.45</v>
      </c>
      <c r="Z111" t="e">
        <f>VLOOKUP(A111,[1]Worksheet!$A$1:$A$510,1,0)</f>
        <v>#N/A</v>
      </c>
      <c r="AA111">
        <f t="shared" si="1"/>
        <v>1</v>
      </c>
    </row>
    <row r="112" spans="1:27" hidden="1" x14ac:dyDescent="0.3">
      <c r="A112" s="1">
        <v>68</v>
      </c>
      <c r="B112" s="1" t="s">
        <v>25</v>
      </c>
      <c r="C112" s="1" t="s">
        <v>26</v>
      </c>
      <c r="D112" s="1" t="s">
        <v>27</v>
      </c>
      <c r="E112" s="1" t="s">
        <v>28</v>
      </c>
      <c r="F112" s="1" t="s">
        <v>29</v>
      </c>
      <c r="G112" s="1" t="s">
        <v>30</v>
      </c>
      <c r="H112" s="1" t="s">
        <v>31</v>
      </c>
      <c r="I112" s="1">
        <v>85</v>
      </c>
      <c r="J112" s="1" t="s">
        <v>32</v>
      </c>
      <c r="K112" s="1" t="s">
        <v>33</v>
      </c>
      <c r="L112" s="1" t="s">
        <v>33</v>
      </c>
      <c r="M112" s="1" t="s">
        <v>34</v>
      </c>
      <c r="N112" s="3"/>
      <c r="O112" s="4">
        <v>85.3</v>
      </c>
      <c r="P112" s="4">
        <v>87.5</v>
      </c>
      <c r="Q112" s="4">
        <v>86</v>
      </c>
      <c r="R112" s="4">
        <v>85</v>
      </c>
      <c r="S112" s="5">
        <v>91.5</v>
      </c>
      <c r="T112" s="5">
        <v>93</v>
      </c>
      <c r="U112" s="5">
        <v>89</v>
      </c>
      <c r="V112" s="5">
        <v>94.8</v>
      </c>
      <c r="W112" s="5">
        <v>98</v>
      </c>
      <c r="X112" s="5">
        <v>94</v>
      </c>
      <c r="Y112" s="5">
        <v>96</v>
      </c>
      <c r="Z112">
        <f>VLOOKUP(A112,[1]Worksheet!$A$1:$A$510,1,0)</f>
        <v>68</v>
      </c>
      <c r="AA112">
        <f t="shared" si="1"/>
        <v>1</v>
      </c>
    </row>
    <row r="113" spans="1:27" hidden="1" x14ac:dyDescent="0.3">
      <c r="A113" s="1">
        <v>73</v>
      </c>
      <c r="B113" s="1" t="s">
        <v>38</v>
      </c>
      <c r="C113" s="1" t="s">
        <v>26</v>
      </c>
      <c r="D113" s="1" t="s">
        <v>39</v>
      </c>
      <c r="E113" s="1" t="s">
        <v>40</v>
      </c>
      <c r="F113" s="1" t="s">
        <v>29</v>
      </c>
      <c r="G113" s="1" t="s">
        <v>41</v>
      </c>
      <c r="H113" s="1" t="s">
        <v>31</v>
      </c>
      <c r="I113" s="1">
        <v>20</v>
      </c>
      <c r="J113" s="1" t="s">
        <v>42</v>
      </c>
      <c r="K113" s="1" t="s">
        <v>33</v>
      </c>
      <c r="L113" s="1" t="s">
        <v>33</v>
      </c>
      <c r="M113" s="1" t="s">
        <v>34</v>
      </c>
      <c r="N113" s="4">
        <v>20</v>
      </c>
      <c r="O113" s="4">
        <v>19</v>
      </c>
      <c r="P113" s="4">
        <v>17</v>
      </c>
      <c r="Q113" s="4">
        <v>20</v>
      </c>
      <c r="R113" s="4">
        <v>17</v>
      </c>
      <c r="S113" s="4">
        <v>19</v>
      </c>
      <c r="T113" s="4">
        <v>20</v>
      </c>
      <c r="U113" s="4">
        <v>17.670000000000002</v>
      </c>
      <c r="V113" s="4">
        <v>15.5</v>
      </c>
      <c r="W113" s="4">
        <v>12.4</v>
      </c>
      <c r="X113" s="4">
        <v>14.15</v>
      </c>
      <c r="Y113" s="4">
        <v>18.41</v>
      </c>
      <c r="Z113">
        <f>VLOOKUP(A113,[1]Worksheet!$A$1:$A$510,1,0)</f>
        <v>73</v>
      </c>
      <c r="AA113">
        <f t="shared" si="1"/>
        <v>1</v>
      </c>
    </row>
    <row r="114" spans="1:27" hidden="1" x14ac:dyDescent="0.3">
      <c r="A114" s="1">
        <v>74</v>
      </c>
      <c r="B114" s="1" t="s">
        <v>43</v>
      </c>
      <c r="C114" s="1" t="s">
        <v>26</v>
      </c>
      <c r="D114" s="1" t="s">
        <v>39</v>
      </c>
      <c r="E114" s="1" t="s">
        <v>44</v>
      </c>
      <c r="F114" s="1" t="s">
        <v>29</v>
      </c>
      <c r="G114" s="1" t="s">
        <v>30</v>
      </c>
      <c r="H114" s="1" t="s">
        <v>31</v>
      </c>
      <c r="I114" s="1">
        <v>80</v>
      </c>
      <c r="J114" s="1" t="s">
        <v>45</v>
      </c>
      <c r="K114" s="1" t="s">
        <v>33</v>
      </c>
      <c r="L114" s="1" t="s">
        <v>33</v>
      </c>
      <c r="M114" s="1" t="s">
        <v>34</v>
      </c>
      <c r="N114" s="5">
        <v>90.32</v>
      </c>
      <c r="O114" s="5">
        <v>91.49</v>
      </c>
      <c r="P114" s="5">
        <v>95.45</v>
      </c>
      <c r="Q114" s="5">
        <v>91.53</v>
      </c>
      <c r="R114" s="5">
        <v>94.64</v>
      </c>
      <c r="S114" s="5">
        <v>87.179487179486998</v>
      </c>
      <c r="T114" s="4">
        <v>82.894736842105004</v>
      </c>
      <c r="U114" s="5">
        <v>88</v>
      </c>
      <c r="V114" s="5">
        <v>91.071428571428569</v>
      </c>
      <c r="W114" s="4">
        <v>83.2</v>
      </c>
      <c r="X114" s="5">
        <v>96.491228070175438</v>
      </c>
      <c r="Y114" s="4">
        <v>80.327868852459019</v>
      </c>
      <c r="Z114">
        <f>VLOOKUP(A114,[1]Worksheet!$A$1:$A$510,1,0)</f>
        <v>74</v>
      </c>
      <c r="AA114">
        <f t="shared" si="1"/>
        <v>1</v>
      </c>
    </row>
    <row r="115" spans="1:27" hidden="1" x14ac:dyDescent="0.3">
      <c r="A115" s="1">
        <v>86</v>
      </c>
      <c r="B115" s="1" t="s">
        <v>57</v>
      </c>
      <c r="C115" s="1" t="s">
        <v>47</v>
      </c>
      <c r="D115" s="1" t="s">
        <v>52</v>
      </c>
      <c r="E115" s="1" t="s">
        <v>28</v>
      </c>
      <c r="F115" s="1" t="s">
        <v>29</v>
      </c>
      <c r="G115" s="1" t="s">
        <v>30</v>
      </c>
      <c r="H115" s="1" t="s">
        <v>31</v>
      </c>
      <c r="I115" s="1">
        <v>100</v>
      </c>
      <c r="J115" s="1" t="s">
        <v>58</v>
      </c>
      <c r="K115" s="1" t="s">
        <v>33</v>
      </c>
      <c r="L115" s="1" t="s">
        <v>33</v>
      </c>
      <c r="M115" s="1" t="s">
        <v>34</v>
      </c>
      <c r="N115" s="4">
        <v>100</v>
      </c>
      <c r="O115" s="4">
        <v>100</v>
      </c>
      <c r="P115" s="4">
        <v>100</v>
      </c>
      <c r="Q115" s="4">
        <v>100</v>
      </c>
      <c r="R115" s="4">
        <v>100</v>
      </c>
      <c r="S115" s="4">
        <v>100</v>
      </c>
      <c r="T115" s="4">
        <v>100</v>
      </c>
      <c r="U115" s="4">
        <v>100</v>
      </c>
      <c r="V115" s="4">
        <v>100</v>
      </c>
      <c r="W115" s="4">
        <v>100</v>
      </c>
      <c r="X115" s="3" t="s">
        <v>59</v>
      </c>
      <c r="Y115" s="4">
        <v>100</v>
      </c>
      <c r="Z115">
        <f>VLOOKUP(A115,[1]Worksheet!$A$1:$A$510,1,0)</f>
        <v>86</v>
      </c>
      <c r="AA115">
        <f t="shared" si="1"/>
        <v>1</v>
      </c>
    </row>
    <row r="116" spans="1:27" hidden="1" x14ac:dyDescent="0.3">
      <c r="A116" s="1">
        <v>95</v>
      </c>
      <c r="B116" s="1" t="s">
        <v>74</v>
      </c>
      <c r="C116" s="1" t="s">
        <v>26</v>
      </c>
      <c r="D116" s="1" t="s">
        <v>52</v>
      </c>
      <c r="E116" s="1" t="s">
        <v>28</v>
      </c>
      <c r="F116" s="1" t="s">
        <v>29</v>
      </c>
      <c r="G116" s="1" t="s">
        <v>30</v>
      </c>
      <c r="H116" s="1" t="s">
        <v>31</v>
      </c>
      <c r="I116" s="1">
        <v>100</v>
      </c>
      <c r="J116" s="1" t="s">
        <v>75</v>
      </c>
      <c r="K116" s="1" t="s">
        <v>33</v>
      </c>
      <c r="L116" s="1" t="s">
        <v>33</v>
      </c>
      <c r="M116" s="1" t="s">
        <v>34</v>
      </c>
      <c r="N116" s="4">
        <v>100</v>
      </c>
      <c r="O116" s="4">
        <v>100</v>
      </c>
      <c r="P116" s="4">
        <v>100</v>
      </c>
      <c r="Q116" s="4">
        <v>100</v>
      </c>
      <c r="R116" s="4">
        <v>100</v>
      </c>
      <c r="S116" s="4">
        <v>100</v>
      </c>
      <c r="T116" s="4">
        <v>100</v>
      </c>
      <c r="U116" s="4">
        <v>100</v>
      </c>
      <c r="V116" s="4">
        <v>100</v>
      </c>
      <c r="W116" s="4">
        <v>100</v>
      </c>
      <c r="X116" s="4">
        <v>100</v>
      </c>
      <c r="Y116" s="7">
        <v>33.333333333333329</v>
      </c>
      <c r="Z116">
        <f>VLOOKUP(A116,[1]Worksheet!$A$1:$A$510,1,0)</f>
        <v>95</v>
      </c>
      <c r="AA116">
        <f t="shared" si="1"/>
        <v>1</v>
      </c>
    </row>
    <row r="117" spans="1:27" hidden="1" x14ac:dyDescent="0.3">
      <c r="A117" s="1">
        <v>143</v>
      </c>
      <c r="B117" s="1" t="s">
        <v>114</v>
      </c>
      <c r="C117" s="1" t="s">
        <v>26</v>
      </c>
      <c r="D117" s="1" t="s">
        <v>115</v>
      </c>
      <c r="E117" s="1" t="s">
        <v>116</v>
      </c>
      <c r="F117" s="1" t="s">
        <v>29</v>
      </c>
      <c r="G117" s="1" t="s">
        <v>30</v>
      </c>
      <c r="H117" s="1" t="s">
        <v>31</v>
      </c>
      <c r="I117" s="1" t="s">
        <v>117</v>
      </c>
      <c r="J117" s="1" t="s">
        <v>118</v>
      </c>
      <c r="K117" s="1" t="s">
        <v>33</v>
      </c>
      <c r="L117" s="1" t="s">
        <v>33</v>
      </c>
      <c r="M117" s="1" t="s">
        <v>34</v>
      </c>
      <c r="N117" s="8">
        <v>191</v>
      </c>
      <c r="O117" s="8">
        <v>159</v>
      </c>
      <c r="P117" s="8">
        <v>135</v>
      </c>
      <c r="Q117" s="8">
        <v>112</v>
      </c>
      <c r="R117" s="8">
        <v>146</v>
      </c>
      <c r="S117" s="8">
        <v>146</v>
      </c>
      <c r="T117" s="8">
        <v>158</v>
      </c>
      <c r="U117" s="8">
        <v>147</v>
      </c>
      <c r="V117" s="8">
        <v>144</v>
      </c>
      <c r="W117" s="8">
        <v>86</v>
      </c>
      <c r="X117" s="8">
        <v>143</v>
      </c>
      <c r="Y117" s="8">
        <v>84</v>
      </c>
      <c r="Z117">
        <f>VLOOKUP(A117,[1]Worksheet!$A$1:$A$510,1,0)</f>
        <v>143</v>
      </c>
      <c r="AA117">
        <f t="shared" si="1"/>
        <v>1</v>
      </c>
    </row>
    <row r="118" spans="1:27" hidden="1" x14ac:dyDescent="0.3">
      <c r="A118" s="1">
        <v>145</v>
      </c>
      <c r="B118" s="1" t="s">
        <v>121</v>
      </c>
      <c r="C118" s="1" t="s">
        <v>47</v>
      </c>
      <c r="D118" s="1" t="s">
        <v>122</v>
      </c>
      <c r="E118" s="1" t="s">
        <v>28</v>
      </c>
      <c r="F118" s="1" t="s">
        <v>29</v>
      </c>
      <c r="G118" s="1" t="s">
        <v>30</v>
      </c>
      <c r="H118" s="1" t="s">
        <v>31</v>
      </c>
      <c r="I118" s="1">
        <v>1</v>
      </c>
      <c r="J118" s="1" t="s">
        <v>123</v>
      </c>
      <c r="K118" s="1" t="s">
        <v>33</v>
      </c>
      <c r="L118" s="1" t="s">
        <v>33</v>
      </c>
      <c r="M118" s="1" t="s">
        <v>34</v>
      </c>
      <c r="N118" s="4">
        <v>1.62</v>
      </c>
      <c r="O118" s="4">
        <v>1.74</v>
      </c>
      <c r="P118" s="4">
        <v>1.94</v>
      </c>
      <c r="Q118" s="4">
        <v>1.97</v>
      </c>
      <c r="R118" s="4">
        <v>2</v>
      </c>
      <c r="S118" s="4">
        <v>2</v>
      </c>
      <c r="T118" s="4">
        <v>2.1186440677966001</v>
      </c>
      <c r="U118" s="4">
        <v>2.1186440677966001</v>
      </c>
      <c r="V118" s="4">
        <v>2.145161290322581</v>
      </c>
      <c r="W118" s="4">
        <v>2.096774193548387</v>
      </c>
      <c r="X118" s="4">
        <v>1.6233766233766229</v>
      </c>
      <c r="Y118" s="4">
        <v>1.545454545454545</v>
      </c>
      <c r="Z118">
        <f>VLOOKUP(A118,[1]Worksheet!$A$1:$A$510,1,0)</f>
        <v>145</v>
      </c>
      <c r="AA118">
        <f t="shared" si="1"/>
        <v>1</v>
      </c>
    </row>
    <row r="119" spans="1:27" hidden="1" x14ac:dyDescent="0.3">
      <c r="A119" s="1">
        <v>146</v>
      </c>
      <c r="B119" s="1" t="s">
        <v>124</v>
      </c>
      <c r="C119" s="1" t="s">
        <v>47</v>
      </c>
      <c r="D119" s="1" t="s">
        <v>115</v>
      </c>
      <c r="E119" s="1" t="s">
        <v>40</v>
      </c>
      <c r="F119" s="1" t="s">
        <v>29</v>
      </c>
      <c r="G119" s="1" t="s">
        <v>30</v>
      </c>
      <c r="H119" s="1" t="s">
        <v>31</v>
      </c>
      <c r="I119" s="1">
        <v>100</v>
      </c>
      <c r="J119" s="1" t="s">
        <v>125</v>
      </c>
      <c r="K119" s="1" t="s">
        <v>33</v>
      </c>
      <c r="L119" s="1" t="s">
        <v>33</v>
      </c>
      <c r="M119" s="1" t="s">
        <v>34</v>
      </c>
      <c r="N119" s="5">
        <v>133</v>
      </c>
      <c r="O119" s="5">
        <v>107</v>
      </c>
      <c r="P119" s="5">
        <v>116.67</v>
      </c>
      <c r="Q119" s="5">
        <v>113.61</v>
      </c>
      <c r="R119" s="5">
        <v>148.69999999999999</v>
      </c>
      <c r="S119" s="5">
        <v>120.87</v>
      </c>
      <c r="T119" s="5">
        <v>121.74</v>
      </c>
      <c r="U119" s="4">
        <v>100.43</v>
      </c>
      <c r="V119" s="4">
        <v>103.91</v>
      </c>
      <c r="W119" s="6">
        <v>83.48</v>
      </c>
      <c r="X119" s="4">
        <v>103.5</v>
      </c>
      <c r="Y119" s="6">
        <v>80</v>
      </c>
      <c r="Z119">
        <f>VLOOKUP(A119,[1]Worksheet!$A$1:$A$510,1,0)</f>
        <v>146</v>
      </c>
      <c r="AA119">
        <f t="shared" si="1"/>
        <v>1</v>
      </c>
    </row>
    <row r="120" spans="1:27" hidden="1" x14ac:dyDescent="0.3">
      <c r="A120" s="1">
        <v>148</v>
      </c>
      <c r="B120" s="1" t="s">
        <v>128</v>
      </c>
      <c r="C120" s="1" t="s">
        <v>47</v>
      </c>
      <c r="D120" s="1" t="s">
        <v>122</v>
      </c>
      <c r="E120" s="1" t="s">
        <v>28</v>
      </c>
      <c r="F120" s="1" t="s">
        <v>29</v>
      </c>
      <c r="G120" s="1" t="s">
        <v>30</v>
      </c>
      <c r="H120" s="1" t="s">
        <v>31</v>
      </c>
      <c r="I120" s="1">
        <v>5</v>
      </c>
      <c r="J120" s="1" t="s">
        <v>129</v>
      </c>
      <c r="K120" s="1" t="s">
        <v>33</v>
      </c>
      <c r="L120" s="1" t="s">
        <v>33</v>
      </c>
      <c r="M120" s="1" t="s">
        <v>34</v>
      </c>
      <c r="N120" s="5">
        <v>6.78</v>
      </c>
      <c r="O120" s="4">
        <v>4.08</v>
      </c>
      <c r="P120" s="5">
        <v>6.3</v>
      </c>
      <c r="Q120" s="6">
        <v>4.3</v>
      </c>
      <c r="R120" s="5">
        <v>5.71</v>
      </c>
      <c r="S120" s="5">
        <v>4.1100000000000003</v>
      </c>
      <c r="T120" s="5">
        <v>3.0897703549061002</v>
      </c>
      <c r="U120" s="7">
        <v>1.56749025217</v>
      </c>
      <c r="V120" s="7">
        <v>2.7712890210235721</v>
      </c>
      <c r="W120" s="6">
        <v>4.4157526207147777</v>
      </c>
      <c r="X120" s="6">
        <v>3.0506393861892591</v>
      </c>
      <c r="Y120" s="7">
        <v>1.977873977873978</v>
      </c>
      <c r="Z120">
        <f>VLOOKUP(A120,[1]Worksheet!$A$1:$A$510,1,0)</f>
        <v>148</v>
      </c>
      <c r="AA120">
        <f t="shared" si="1"/>
        <v>1</v>
      </c>
    </row>
    <row r="121" spans="1:27" hidden="1" x14ac:dyDescent="0.3">
      <c r="A121" s="1">
        <v>159</v>
      </c>
      <c r="B121" s="1" t="s">
        <v>82</v>
      </c>
      <c r="C121" s="1" t="s">
        <v>47</v>
      </c>
      <c r="D121" s="1" t="s">
        <v>134</v>
      </c>
      <c r="E121" s="1" t="s">
        <v>44</v>
      </c>
      <c r="F121" s="1" t="s">
        <v>29</v>
      </c>
      <c r="G121" s="1" t="s">
        <v>30</v>
      </c>
      <c r="H121" s="1" t="s">
        <v>31</v>
      </c>
      <c r="I121" s="1">
        <v>80</v>
      </c>
      <c r="J121" s="1" t="s">
        <v>135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100</v>
      </c>
      <c r="P121" s="5">
        <v>97.8</v>
      </c>
      <c r="Z121">
        <f>VLOOKUP(A121,[1]Worksheet!$A$1:$A$510,1,0)</f>
        <v>159</v>
      </c>
      <c r="AA121">
        <f t="shared" si="1"/>
        <v>1</v>
      </c>
    </row>
    <row r="122" spans="1:27" hidden="1" x14ac:dyDescent="0.3">
      <c r="A122" s="1">
        <v>167</v>
      </c>
      <c r="B122" s="1" t="s">
        <v>136</v>
      </c>
      <c r="C122" s="1" t="s">
        <v>26</v>
      </c>
      <c r="D122" s="1" t="s">
        <v>39</v>
      </c>
      <c r="E122" s="1" t="s">
        <v>44</v>
      </c>
      <c r="F122" s="1" t="s">
        <v>29</v>
      </c>
      <c r="G122" s="1" t="s">
        <v>30</v>
      </c>
      <c r="H122" s="1" t="s">
        <v>31</v>
      </c>
      <c r="I122" s="1">
        <v>90</v>
      </c>
      <c r="J122" s="1" t="s">
        <v>137</v>
      </c>
      <c r="K122" s="1" t="s">
        <v>33</v>
      </c>
      <c r="L122" s="1" t="s">
        <v>33</v>
      </c>
      <c r="M122" s="1" t="s">
        <v>34</v>
      </c>
      <c r="N122" s="5">
        <v>94</v>
      </c>
      <c r="O122" s="5">
        <v>93.63</v>
      </c>
      <c r="P122" s="5">
        <v>96.8</v>
      </c>
      <c r="Q122" s="5">
        <v>96.86</v>
      </c>
      <c r="R122" s="5">
        <v>96.15</v>
      </c>
      <c r="S122" s="5">
        <v>97.7</v>
      </c>
      <c r="T122" s="5">
        <v>96.55</v>
      </c>
      <c r="U122" s="5">
        <v>97.64</v>
      </c>
      <c r="V122" s="3"/>
      <c r="W122" s="3" t="s">
        <v>59</v>
      </c>
      <c r="X122" s="3"/>
      <c r="Y122" s="3"/>
      <c r="Z122">
        <f>VLOOKUP(A122,[1]Worksheet!$A$1:$A$510,1,0)</f>
        <v>167</v>
      </c>
      <c r="AA122">
        <f t="shared" si="1"/>
        <v>1</v>
      </c>
    </row>
    <row r="123" spans="1:27" hidden="1" x14ac:dyDescent="0.3">
      <c r="A123" s="1">
        <v>193</v>
      </c>
      <c r="B123" s="1" t="s">
        <v>140</v>
      </c>
      <c r="C123" s="1" t="s">
        <v>47</v>
      </c>
      <c r="D123" s="1" t="s">
        <v>141</v>
      </c>
      <c r="E123" s="1" t="s">
        <v>40</v>
      </c>
      <c r="F123" s="1" t="s">
        <v>29</v>
      </c>
      <c r="G123" s="1" t="s">
        <v>30</v>
      </c>
      <c r="H123" s="1" t="s">
        <v>31</v>
      </c>
      <c r="I123" s="1">
        <v>94</v>
      </c>
      <c r="J123" s="1" t="s">
        <v>142</v>
      </c>
      <c r="K123" s="1" t="s">
        <v>33</v>
      </c>
      <c r="L123" s="1" t="s">
        <v>33</v>
      </c>
      <c r="M123" s="1" t="s">
        <v>34</v>
      </c>
      <c r="N123" s="4">
        <v>95</v>
      </c>
      <c r="O123" s="5">
        <v>96.21</v>
      </c>
      <c r="P123" s="4">
        <v>93.5</v>
      </c>
      <c r="Q123" s="4">
        <v>91.700230762025598</v>
      </c>
      <c r="R123" s="6">
        <v>91.3</v>
      </c>
      <c r="S123" s="6">
        <v>91.899679829242004</v>
      </c>
      <c r="T123" s="3"/>
      <c r="U123" s="3"/>
      <c r="V123" s="3"/>
      <c r="W123" s="3"/>
      <c r="X123" s="3"/>
      <c r="Y123" s="3"/>
      <c r="Z123">
        <f>VLOOKUP(A123,[1]Worksheet!$A$1:$A$510,1,0)</f>
        <v>193</v>
      </c>
      <c r="AA123">
        <f t="shared" si="1"/>
        <v>1</v>
      </c>
    </row>
    <row r="124" spans="1:27" hidden="1" x14ac:dyDescent="0.3">
      <c r="A124" s="1">
        <v>199</v>
      </c>
      <c r="B124" s="1" t="s">
        <v>145</v>
      </c>
      <c r="C124" s="1" t="s">
        <v>26</v>
      </c>
      <c r="D124" s="1" t="s">
        <v>39</v>
      </c>
      <c r="E124" s="1" t="s">
        <v>28</v>
      </c>
      <c r="F124" s="1" t="s">
        <v>29</v>
      </c>
      <c r="G124" s="1" t="s">
        <v>30</v>
      </c>
      <c r="H124" s="1" t="s">
        <v>31</v>
      </c>
      <c r="I124" s="1">
        <v>80</v>
      </c>
      <c r="J124" s="1" t="s">
        <v>146</v>
      </c>
      <c r="K124" s="1" t="s">
        <v>33</v>
      </c>
      <c r="L124" s="1" t="s">
        <v>33</v>
      </c>
      <c r="M124" s="1" t="s">
        <v>34</v>
      </c>
      <c r="N124" s="5">
        <v>92.89</v>
      </c>
      <c r="O124" s="5">
        <v>92.1</v>
      </c>
      <c r="P124" s="5">
        <v>92.81</v>
      </c>
      <c r="Q124" s="5">
        <v>92.19</v>
      </c>
      <c r="R124" s="5">
        <v>87.67</v>
      </c>
      <c r="S124" s="5">
        <v>87.666666666666998</v>
      </c>
      <c r="T124" s="3" t="s">
        <v>59</v>
      </c>
      <c r="U124" s="3" t="s">
        <v>59</v>
      </c>
      <c r="V124" s="3"/>
      <c r="W124" s="3"/>
      <c r="X124" s="3"/>
      <c r="Y124" s="3"/>
      <c r="Z124">
        <f>VLOOKUP(A124,[1]Worksheet!$A$1:$A$510,1,0)</f>
        <v>199</v>
      </c>
      <c r="AA124">
        <f t="shared" si="1"/>
        <v>1</v>
      </c>
    </row>
    <row r="125" spans="1:27" hidden="1" x14ac:dyDescent="0.3">
      <c r="A125" s="1">
        <v>203</v>
      </c>
      <c r="B125" s="1" t="s">
        <v>151</v>
      </c>
      <c r="C125" s="1" t="s">
        <v>47</v>
      </c>
      <c r="D125" s="1" t="s">
        <v>152</v>
      </c>
      <c r="E125" s="1" t="s">
        <v>40</v>
      </c>
      <c r="F125" s="1" t="s">
        <v>29</v>
      </c>
      <c r="G125" s="1" t="s">
        <v>30</v>
      </c>
      <c r="H125" s="1" t="s">
        <v>153</v>
      </c>
      <c r="I125" s="1">
        <v>95</v>
      </c>
      <c r="J125" s="1" t="s">
        <v>154</v>
      </c>
      <c r="K125" s="1" t="s">
        <v>155</v>
      </c>
      <c r="L125" s="1" t="s">
        <v>34</v>
      </c>
      <c r="M125" s="1" t="s">
        <v>34</v>
      </c>
      <c r="N125" s="5">
        <v>111.33</v>
      </c>
      <c r="O125" s="5">
        <v>111.77</v>
      </c>
      <c r="P125" s="5">
        <v>102.84</v>
      </c>
      <c r="Q125" s="5">
        <v>102.01</v>
      </c>
      <c r="R125" s="5">
        <v>103.36740380481</v>
      </c>
      <c r="S125" s="5">
        <v>104.63235542785</v>
      </c>
      <c r="T125" s="3" t="s">
        <v>59</v>
      </c>
      <c r="U125" s="3" t="s">
        <v>59</v>
      </c>
      <c r="V125" s="3" t="s">
        <v>59</v>
      </c>
      <c r="W125" s="3" t="s">
        <v>59</v>
      </c>
      <c r="X125" s="3" t="s">
        <v>59</v>
      </c>
      <c r="Y125" s="3" t="s">
        <v>59</v>
      </c>
      <c r="Z125">
        <f>VLOOKUP(A125,[1]Worksheet!$A$1:$A$510,1,0)</f>
        <v>203</v>
      </c>
      <c r="AA125">
        <f t="shared" si="1"/>
        <v>1</v>
      </c>
    </row>
    <row r="126" spans="1:27" hidden="1" x14ac:dyDescent="0.3">
      <c r="A126" s="1">
        <v>204</v>
      </c>
      <c r="B126" s="1" t="s">
        <v>162</v>
      </c>
      <c r="C126" s="1" t="s">
        <v>47</v>
      </c>
      <c r="D126" s="1" t="s">
        <v>152</v>
      </c>
      <c r="E126" s="1" t="s">
        <v>28</v>
      </c>
      <c r="F126" s="1" t="s">
        <v>29</v>
      </c>
      <c r="G126" s="1" t="s">
        <v>30</v>
      </c>
      <c r="H126" s="1" t="s">
        <v>31</v>
      </c>
      <c r="I126" s="1">
        <v>95</v>
      </c>
      <c r="J126" s="1" t="s">
        <v>163</v>
      </c>
      <c r="K126" s="1" t="s">
        <v>33</v>
      </c>
      <c r="L126" s="1" t="s">
        <v>33</v>
      </c>
      <c r="M126" s="1" t="s">
        <v>34</v>
      </c>
      <c r="N126" s="5">
        <v>152.24</v>
      </c>
      <c r="O126" s="6">
        <v>86.89</v>
      </c>
      <c r="P126" s="5">
        <v>144.53</v>
      </c>
      <c r="Q126" s="5">
        <v>133.55000000000001</v>
      </c>
      <c r="R126" s="5">
        <v>162.37</v>
      </c>
      <c r="S126" s="5">
        <v>194.75668793403</v>
      </c>
      <c r="T126" s="3"/>
      <c r="U126" s="3"/>
      <c r="V126" s="3"/>
      <c r="W126" s="3"/>
      <c r="X126" s="3"/>
      <c r="Y126" s="3"/>
      <c r="Z126">
        <f>VLOOKUP(A126,[1]Worksheet!$A$1:$A$510,1,0)</f>
        <v>204</v>
      </c>
      <c r="AA126">
        <f t="shared" si="1"/>
        <v>1</v>
      </c>
    </row>
    <row r="127" spans="1:27" hidden="1" x14ac:dyDescent="0.3">
      <c r="A127" s="1">
        <v>205</v>
      </c>
      <c r="B127" s="1" t="s">
        <v>164</v>
      </c>
      <c r="C127" s="1" t="s">
        <v>47</v>
      </c>
      <c r="D127" s="1" t="s">
        <v>152</v>
      </c>
      <c r="E127" s="1" t="s">
        <v>40</v>
      </c>
      <c r="F127" s="1" t="s">
        <v>29</v>
      </c>
      <c r="G127" s="1" t="s">
        <v>30</v>
      </c>
      <c r="H127" s="1" t="s">
        <v>31</v>
      </c>
      <c r="I127" s="1">
        <v>95</v>
      </c>
      <c r="J127" s="1" t="s">
        <v>165</v>
      </c>
      <c r="K127" s="1" t="s">
        <v>33</v>
      </c>
      <c r="L127" s="1" t="s">
        <v>33</v>
      </c>
      <c r="M127" s="1" t="s">
        <v>34</v>
      </c>
      <c r="N127" s="5">
        <v>123.05</v>
      </c>
      <c r="O127" s="5">
        <v>186.31</v>
      </c>
      <c r="P127" s="5">
        <v>184.72</v>
      </c>
      <c r="Q127" s="5">
        <v>215.07</v>
      </c>
      <c r="R127" s="5">
        <v>426.51</v>
      </c>
      <c r="S127" s="5">
        <v>165.42728645151001</v>
      </c>
      <c r="T127" s="3"/>
      <c r="U127" s="3"/>
      <c r="V127" s="3"/>
      <c r="W127" s="3"/>
      <c r="X127" s="3"/>
      <c r="Y127" s="3"/>
      <c r="Z127">
        <f>VLOOKUP(A127,[1]Worksheet!$A$1:$A$510,1,0)</f>
        <v>205</v>
      </c>
      <c r="AA127">
        <f t="shared" si="1"/>
        <v>1</v>
      </c>
    </row>
    <row r="128" spans="1:27" hidden="1" x14ac:dyDescent="0.3">
      <c r="A128" s="1">
        <v>207</v>
      </c>
      <c r="B128" s="1" t="s">
        <v>168</v>
      </c>
      <c r="C128" s="1" t="s">
        <v>47</v>
      </c>
      <c r="D128" s="1" t="s">
        <v>152</v>
      </c>
      <c r="E128" s="1" t="s">
        <v>40</v>
      </c>
      <c r="F128" s="1" t="s">
        <v>29</v>
      </c>
      <c r="G128" s="1" t="s">
        <v>41</v>
      </c>
      <c r="H128" s="1" t="s">
        <v>31</v>
      </c>
      <c r="I128" s="1">
        <v>100</v>
      </c>
      <c r="J128" s="1" t="s">
        <v>169</v>
      </c>
      <c r="K128" s="1" t="s">
        <v>33</v>
      </c>
      <c r="L128" s="1" t="s">
        <v>33</v>
      </c>
      <c r="M128" s="1" t="s">
        <v>34</v>
      </c>
      <c r="N128" s="4">
        <v>110.62</v>
      </c>
      <c r="O128" s="4">
        <v>110.9</v>
      </c>
      <c r="P128" s="4">
        <v>102.2</v>
      </c>
      <c r="Q128" s="4">
        <v>101.79</v>
      </c>
      <c r="R128" s="4">
        <v>103.6</v>
      </c>
      <c r="S128" s="4">
        <v>101.19882903781</v>
      </c>
      <c r="T128" s="3"/>
      <c r="U128" s="3"/>
      <c r="V128" s="3"/>
      <c r="W128" s="3"/>
      <c r="X128" s="3"/>
      <c r="Y128" s="3"/>
      <c r="Z128">
        <f>VLOOKUP(A128,[1]Worksheet!$A$1:$A$510,1,0)</f>
        <v>207</v>
      </c>
      <c r="AA128">
        <f t="shared" si="1"/>
        <v>1</v>
      </c>
    </row>
    <row r="129" spans="1:27" hidden="1" x14ac:dyDescent="0.3">
      <c r="A129" s="1">
        <v>215</v>
      </c>
      <c r="B129" s="1" t="s">
        <v>205</v>
      </c>
      <c r="C129" s="1" t="s">
        <v>26</v>
      </c>
      <c r="D129" s="1" t="s">
        <v>93</v>
      </c>
      <c r="E129" s="1" t="s">
        <v>40</v>
      </c>
      <c r="F129" s="1" t="s">
        <v>29</v>
      </c>
      <c r="G129" s="1" t="s">
        <v>30</v>
      </c>
      <c r="H129" s="1" t="s">
        <v>153</v>
      </c>
      <c r="I129" s="1">
        <v>1</v>
      </c>
      <c r="J129" s="1" t="s">
        <v>206</v>
      </c>
      <c r="K129" s="1" t="s">
        <v>207</v>
      </c>
      <c r="L129" s="1" t="s">
        <v>34</v>
      </c>
      <c r="M129" s="1" t="s">
        <v>34</v>
      </c>
      <c r="N129" s="7">
        <v>-6.43</v>
      </c>
      <c r="O129" s="7">
        <v>-114.55</v>
      </c>
      <c r="P129" s="7">
        <v>-45.65</v>
      </c>
      <c r="Q129" s="4">
        <v>8</v>
      </c>
      <c r="R129" s="7">
        <v>-124.72</v>
      </c>
      <c r="S129" s="3" t="s">
        <v>59</v>
      </c>
      <c r="T129" s="7">
        <v>-23.628691983122</v>
      </c>
      <c r="U129" s="3" t="s">
        <v>59</v>
      </c>
      <c r="V129" s="3" t="s">
        <v>59</v>
      </c>
      <c r="W129" s="3" t="s">
        <v>59</v>
      </c>
      <c r="X129" s="3" t="s">
        <v>59</v>
      </c>
      <c r="Y129" s="3" t="s">
        <v>59</v>
      </c>
      <c r="Z129">
        <f>VLOOKUP(A129,[1]Worksheet!$A$1:$A$510,1,0)</f>
        <v>215</v>
      </c>
      <c r="AA129">
        <f t="shared" si="1"/>
        <v>1</v>
      </c>
    </row>
    <row r="130" spans="1:27" hidden="1" x14ac:dyDescent="0.3">
      <c r="A130" s="1">
        <v>219</v>
      </c>
      <c r="B130" s="1" t="s">
        <v>214</v>
      </c>
      <c r="C130" s="1" t="s">
        <v>26</v>
      </c>
      <c r="D130" s="1" t="s">
        <v>93</v>
      </c>
      <c r="E130" s="1" t="s">
        <v>40</v>
      </c>
      <c r="F130" s="1" t="s">
        <v>29</v>
      </c>
      <c r="G130" s="1" t="s">
        <v>30</v>
      </c>
      <c r="H130" s="1" t="s">
        <v>153</v>
      </c>
      <c r="I130" s="1">
        <v>1</v>
      </c>
      <c r="J130" s="1" t="s">
        <v>215</v>
      </c>
      <c r="K130" s="1" t="s">
        <v>155</v>
      </c>
      <c r="L130" s="1" t="s">
        <v>34</v>
      </c>
      <c r="M130" s="1" t="s">
        <v>34</v>
      </c>
      <c r="N130" s="7">
        <v>-18.28</v>
      </c>
      <c r="O130" s="4">
        <v>18.43</v>
      </c>
      <c r="P130" s="7">
        <v>-12.53</v>
      </c>
      <c r="Q130" s="4">
        <v>11.94</v>
      </c>
      <c r="R130" s="7">
        <v>-5.89</v>
      </c>
      <c r="S130" s="4">
        <v>21.147036826274292</v>
      </c>
      <c r="T130" s="7">
        <v>-68.789622683372002</v>
      </c>
      <c r="U130" s="4">
        <v>16.685183396325002</v>
      </c>
      <c r="V130" s="3"/>
      <c r="W130" s="3" t="s">
        <v>59</v>
      </c>
      <c r="X130" s="3" t="s">
        <v>59</v>
      </c>
      <c r="Y130" s="3" t="s">
        <v>59</v>
      </c>
      <c r="Z130">
        <f>VLOOKUP(A130,[1]Worksheet!$A$1:$A$510,1,0)</f>
        <v>219</v>
      </c>
      <c r="AA130">
        <f t="shared" ref="AA130:AA193" si="2">IF(A130=A129,0,1)</f>
        <v>1</v>
      </c>
    </row>
    <row r="131" spans="1:27" hidden="1" x14ac:dyDescent="0.3">
      <c r="A131" s="1">
        <v>220</v>
      </c>
      <c r="B131" s="1" t="s">
        <v>217</v>
      </c>
      <c r="C131" s="1" t="s">
        <v>26</v>
      </c>
      <c r="D131" s="1" t="s">
        <v>93</v>
      </c>
      <c r="E131" s="1" t="s">
        <v>40</v>
      </c>
      <c r="F131" s="1" t="s">
        <v>29</v>
      </c>
      <c r="G131" s="1" t="s">
        <v>30</v>
      </c>
      <c r="H131" s="1" t="s">
        <v>153</v>
      </c>
      <c r="I131" s="1">
        <v>1</v>
      </c>
      <c r="J131" s="1" t="s">
        <v>218</v>
      </c>
      <c r="K131" s="1" t="s">
        <v>207</v>
      </c>
      <c r="L131" s="1" t="s">
        <v>34</v>
      </c>
      <c r="M131" s="1" t="s">
        <v>34</v>
      </c>
      <c r="N131" s="7">
        <v>-10.18</v>
      </c>
      <c r="O131" s="4">
        <v>33.979999999999997</v>
      </c>
      <c r="P131" s="4">
        <v>13.05</v>
      </c>
      <c r="Q131" s="4">
        <v>3.58</v>
      </c>
      <c r="R131" s="7">
        <v>-38.58</v>
      </c>
      <c r="S131" s="4">
        <v>40.678407793435213</v>
      </c>
      <c r="T131" s="7">
        <v>-85.889409840455002</v>
      </c>
      <c r="U131" s="7">
        <v>-88.603565901063007</v>
      </c>
      <c r="V131" s="3"/>
      <c r="W131" s="3" t="s">
        <v>59</v>
      </c>
      <c r="X131" s="3" t="s">
        <v>59</v>
      </c>
      <c r="Y131" s="3" t="s">
        <v>59</v>
      </c>
      <c r="Z131">
        <f>VLOOKUP(A131,[1]Worksheet!$A$1:$A$510,1,0)</f>
        <v>220</v>
      </c>
      <c r="AA131">
        <f t="shared" si="2"/>
        <v>1</v>
      </c>
    </row>
    <row r="132" spans="1:27" hidden="1" x14ac:dyDescent="0.3">
      <c r="A132" s="1">
        <v>230</v>
      </c>
      <c r="B132" s="1" t="s">
        <v>240</v>
      </c>
      <c r="C132" s="1" t="s">
        <v>26</v>
      </c>
      <c r="D132" s="1" t="s">
        <v>93</v>
      </c>
      <c r="E132" s="1" t="s">
        <v>28</v>
      </c>
      <c r="F132" s="1" t="s">
        <v>29</v>
      </c>
      <c r="G132" s="1" t="s">
        <v>30</v>
      </c>
      <c r="H132" s="1" t="s">
        <v>31</v>
      </c>
      <c r="I132" s="1">
        <v>90</v>
      </c>
      <c r="J132" s="1" t="s">
        <v>241</v>
      </c>
      <c r="K132" s="1" t="s">
        <v>33</v>
      </c>
      <c r="L132" s="1" t="s">
        <v>33</v>
      </c>
      <c r="M132" s="1" t="s">
        <v>34</v>
      </c>
      <c r="N132" s="3"/>
      <c r="O132" s="4">
        <v>100</v>
      </c>
      <c r="P132" s="4">
        <v>100</v>
      </c>
      <c r="Q132" s="4">
        <v>100</v>
      </c>
      <c r="R132" s="4">
        <v>100</v>
      </c>
      <c r="S132" s="4">
        <v>100</v>
      </c>
      <c r="T132" s="3"/>
      <c r="U132" s="3"/>
      <c r="V132" s="3"/>
      <c r="W132" s="3"/>
      <c r="X132" s="3"/>
      <c r="Y132" s="3"/>
      <c r="Z132">
        <f>VLOOKUP(A132,[1]Worksheet!$A$1:$A$510,1,0)</f>
        <v>230</v>
      </c>
      <c r="AA132">
        <f t="shared" si="2"/>
        <v>1</v>
      </c>
    </row>
    <row r="133" spans="1:27" hidden="1" x14ac:dyDescent="0.3">
      <c r="A133" s="1">
        <v>231</v>
      </c>
      <c r="B133" s="1" t="s">
        <v>242</v>
      </c>
      <c r="C133" s="1" t="s">
        <v>26</v>
      </c>
      <c r="D133" s="1" t="s">
        <v>93</v>
      </c>
      <c r="E133" s="1" t="s">
        <v>28</v>
      </c>
      <c r="F133" s="1" t="s">
        <v>29</v>
      </c>
      <c r="G133" s="1" t="s">
        <v>30</v>
      </c>
      <c r="H133" s="1" t="s">
        <v>31</v>
      </c>
      <c r="I133" s="1">
        <v>35</v>
      </c>
      <c r="J133" s="1" t="s">
        <v>243</v>
      </c>
      <c r="K133" s="1" t="s">
        <v>33</v>
      </c>
      <c r="L133" s="1" t="s">
        <v>33</v>
      </c>
      <c r="M133" s="1" t="s">
        <v>34</v>
      </c>
      <c r="N133" s="3"/>
      <c r="O133" s="5">
        <v>100</v>
      </c>
      <c r="P133" s="5">
        <v>104.19</v>
      </c>
      <c r="Q133" s="5">
        <v>96.75</v>
      </c>
      <c r="R133" s="5">
        <v>96.44</v>
      </c>
      <c r="S133" s="4">
        <v>40.58</v>
      </c>
      <c r="T133" s="3"/>
      <c r="U133" s="3"/>
      <c r="V133" s="3"/>
      <c r="W133" s="3"/>
      <c r="X133" s="3"/>
      <c r="Y133" s="3"/>
      <c r="Z133">
        <f>VLOOKUP(A133,[1]Worksheet!$A$1:$A$510,1,0)</f>
        <v>231</v>
      </c>
      <c r="AA133">
        <f t="shared" si="2"/>
        <v>1</v>
      </c>
    </row>
    <row r="134" spans="1:27" hidden="1" x14ac:dyDescent="0.3">
      <c r="A134" s="1">
        <v>232</v>
      </c>
      <c r="B134" s="1" t="s">
        <v>244</v>
      </c>
      <c r="C134" s="1" t="s">
        <v>26</v>
      </c>
      <c r="D134" s="1" t="s">
        <v>93</v>
      </c>
      <c r="E134" s="1" t="s">
        <v>28</v>
      </c>
      <c r="F134" s="1" t="s">
        <v>29</v>
      </c>
      <c r="G134" s="1" t="s">
        <v>30</v>
      </c>
      <c r="H134" s="1" t="s">
        <v>31</v>
      </c>
      <c r="I134" s="1">
        <v>90</v>
      </c>
      <c r="J134" s="1" t="s">
        <v>245</v>
      </c>
      <c r="K134" s="1" t="s">
        <v>33</v>
      </c>
      <c r="L134" s="1" t="s">
        <v>33</v>
      </c>
      <c r="M134" s="1" t="s">
        <v>34</v>
      </c>
      <c r="N134" s="3"/>
      <c r="O134" s="6">
        <v>84.62</v>
      </c>
      <c r="P134" s="4">
        <v>100</v>
      </c>
      <c r="Q134" s="4">
        <v>95.45</v>
      </c>
      <c r="R134" s="4">
        <v>91.3</v>
      </c>
      <c r="S134" s="4">
        <v>100</v>
      </c>
      <c r="T134" s="3"/>
      <c r="U134" s="3"/>
      <c r="V134" s="3"/>
      <c r="W134" s="3"/>
      <c r="X134" s="3"/>
      <c r="Y134" s="3"/>
      <c r="Z134">
        <f>VLOOKUP(A134,[1]Worksheet!$A$1:$A$510,1,0)</f>
        <v>232</v>
      </c>
      <c r="AA134">
        <f t="shared" si="2"/>
        <v>1</v>
      </c>
    </row>
    <row r="135" spans="1:27" hidden="1" x14ac:dyDescent="0.3">
      <c r="A135" s="1">
        <v>245</v>
      </c>
      <c r="B135" s="1" t="s">
        <v>291</v>
      </c>
      <c r="C135" s="1" t="s">
        <v>47</v>
      </c>
      <c r="D135" s="1" t="s">
        <v>292</v>
      </c>
      <c r="E135" s="1" t="s">
        <v>28</v>
      </c>
      <c r="F135" s="1" t="s">
        <v>29</v>
      </c>
      <c r="G135" s="1" t="s">
        <v>30</v>
      </c>
      <c r="H135" s="1" t="s">
        <v>31</v>
      </c>
      <c r="I135" s="1">
        <v>100</v>
      </c>
      <c r="J135" s="1" t="s">
        <v>293</v>
      </c>
      <c r="K135" s="1" t="s">
        <v>33</v>
      </c>
      <c r="L135" s="1" t="s">
        <v>33</v>
      </c>
      <c r="M135" s="1" t="s">
        <v>34</v>
      </c>
      <c r="N135" s="4">
        <v>100.12</v>
      </c>
      <c r="O135" s="4">
        <v>100.93</v>
      </c>
      <c r="P135" s="4">
        <v>100.22</v>
      </c>
      <c r="Q135" s="4">
        <v>100.15</v>
      </c>
      <c r="R135" s="6">
        <v>98.14</v>
      </c>
      <c r="S135" s="6">
        <v>97.84</v>
      </c>
      <c r="T135" s="3"/>
      <c r="U135" s="3"/>
      <c r="V135" s="3"/>
      <c r="W135" s="3"/>
      <c r="X135" s="3"/>
      <c r="Y135" s="3"/>
      <c r="Z135">
        <f>VLOOKUP(A135,[1]Worksheet!$A$1:$A$510,1,0)</f>
        <v>245</v>
      </c>
      <c r="AA135">
        <f t="shared" si="2"/>
        <v>1</v>
      </c>
    </row>
    <row r="136" spans="1:27" hidden="1" x14ac:dyDescent="0.3">
      <c r="A136" s="1">
        <v>246</v>
      </c>
      <c r="B136" s="1" t="s">
        <v>294</v>
      </c>
      <c r="C136" s="1" t="s">
        <v>47</v>
      </c>
      <c r="D136" s="1" t="s">
        <v>295</v>
      </c>
      <c r="E136" s="1" t="s">
        <v>44</v>
      </c>
      <c r="F136" s="1" t="s">
        <v>29</v>
      </c>
      <c r="G136" s="1" t="s">
        <v>30</v>
      </c>
      <c r="H136" s="1" t="s">
        <v>31</v>
      </c>
      <c r="I136" s="1">
        <v>90</v>
      </c>
      <c r="J136" s="1" t="s">
        <v>296</v>
      </c>
      <c r="K136" s="1" t="s">
        <v>33</v>
      </c>
      <c r="L136" s="1" t="s">
        <v>33</v>
      </c>
      <c r="M136" s="1" t="s">
        <v>34</v>
      </c>
      <c r="N136" s="4">
        <v>92.7</v>
      </c>
      <c r="O136" s="4">
        <v>90.1</v>
      </c>
      <c r="P136" s="5">
        <v>94.4</v>
      </c>
      <c r="Q136" s="5">
        <v>92.5</v>
      </c>
      <c r="R136" s="7">
        <v>61.4</v>
      </c>
      <c r="S136" s="3"/>
      <c r="T136" s="3"/>
      <c r="U136" s="3"/>
      <c r="V136" s="3"/>
      <c r="W136" s="3"/>
      <c r="X136" s="3"/>
      <c r="Y136" s="3"/>
      <c r="Z136">
        <f>VLOOKUP(A136,[1]Worksheet!$A$1:$A$510,1,0)</f>
        <v>246</v>
      </c>
      <c r="AA136">
        <f t="shared" si="2"/>
        <v>1</v>
      </c>
    </row>
    <row r="137" spans="1:27" hidden="1" x14ac:dyDescent="0.3">
      <c r="A137" s="1">
        <v>252</v>
      </c>
      <c r="B137" s="1" t="s">
        <v>300</v>
      </c>
      <c r="C137" s="1" t="s">
        <v>47</v>
      </c>
      <c r="D137" s="1" t="s">
        <v>292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>
        <v>100</v>
      </c>
      <c r="J137" s="1" t="s">
        <v>301</v>
      </c>
      <c r="K137" s="1" t="s">
        <v>33</v>
      </c>
      <c r="L137" s="1" t="s">
        <v>33</v>
      </c>
      <c r="M137" s="1" t="s">
        <v>34</v>
      </c>
      <c r="N137" s="6">
        <v>99.87</v>
      </c>
      <c r="O137" s="6">
        <v>99.58</v>
      </c>
      <c r="P137" s="6">
        <v>99.49</v>
      </c>
      <c r="Q137" s="5">
        <v>104.47</v>
      </c>
      <c r="R137" s="5">
        <v>109.91</v>
      </c>
      <c r="S137" s="6">
        <v>98.81</v>
      </c>
      <c r="T137" s="3"/>
      <c r="U137" s="3"/>
      <c r="V137" s="3"/>
      <c r="W137" s="3"/>
      <c r="X137" s="3"/>
      <c r="Y137" s="3"/>
      <c r="Z137">
        <f>VLOOKUP(A137,[1]Worksheet!$A$1:$A$510,1,0)</f>
        <v>252</v>
      </c>
      <c r="AA137">
        <f t="shared" si="2"/>
        <v>1</v>
      </c>
    </row>
    <row r="138" spans="1:27" hidden="1" x14ac:dyDescent="0.3">
      <c r="A138" s="1">
        <v>256</v>
      </c>
      <c r="B138" s="1" t="s">
        <v>319</v>
      </c>
      <c r="C138" s="1" t="s">
        <v>47</v>
      </c>
      <c r="D138" s="1" t="s">
        <v>134</v>
      </c>
      <c r="E138" s="1" t="s">
        <v>28</v>
      </c>
      <c r="F138" s="1" t="s">
        <v>29</v>
      </c>
      <c r="G138" s="1" t="s">
        <v>30</v>
      </c>
      <c r="H138" s="1" t="s">
        <v>31</v>
      </c>
      <c r="I138" s="1">
        <v>100</v>
      </c>
      <c r="J138" s="1" t="s">
        <v>320</v>
      </c>
      <c r="K138" s="1" t="s">
        <v>33</v>
      </c>
      <c r="L138" s="1" t="s">
        <v>33</v>
      </c>
      <c r="M138" s="1" t="s">
        <v>34</v>
      </c>
      <c r="N138" s="3"/>
      <c r="O138" s="4">
        <v>100</v>
      </c>
      <c r="P138" s="5">
        <v>152.94</v>
      </c>
      <c r="Q138" s="5">
        <v>117.65</v>
      </c>
      <c r="R138" s="5">
        <v>123.53</v>
      </c>
      <c r="S138" s="5">
        <v>123.52941176471001</v>
      </c>
      <c r="T138" s="3"/>
      <c r="U138" s="3"/>
      <c r="V138" s="3"/>
      <c r="W138" s="3"/>
      <c r="X138" s="3"/>
      <c r="Y138" s="3"/>
      <c r="Z138">
        <f>VLOOKUP(A138,[1]Worksheet!$A$1:$A$510,1,0)</f>
        <v>256</v>
      </c>
      <c r="AA138">
        <f t="shared" si="2"/>
        <v>1</v>
      </c>
    </row>
    <row r="139" spans="1:27" hidden="1" x14ac:dyDescent="0.3">
      <c r="A139" s="1">
        <v>260</v>
      </c>
      <c r="B139" s="1" t="s">
        <v>321</v>
      </c>
      <c r="C139" s="1" t="s">
        <v>47</v>
      </c>
      <c r="D139" s="1" t="s">
        <v>322</v>
      </c>
      <c r="E139" s="1" t="s">
        <v>40</v>
      </c>
      <c r="F139" s="1" t="s">
        <v>29</v>
      </c>
      <c r="G139" s="1" t="s">
        <v>41</v>
      </c>
      <c r="H139" s="1" t="s">
        <v>31</v>
      </c>
      <c r="I139" s="1">
        <v>2.1</v>
      </c>
      <c r="J139" s="1" t="s">
        <v>323</v>
      </c>
      <c r="K139" s="1" t="s">
        <v>33</v>
      </c>
      <c r="L139" s="1" t="s">
        <v>33</v>
      </c>
      <c r="M139" s="1" t="s">
        <v>34</v>
      </c>
      <c r="N139" s="4">
        <v>1.9</v>
      </c>
      <c r="O139" s="5">
        <v>1.9</v>
      </c>
      <c r="P139" s="5">
        <v>2.1</v>
      </c>
      <c r="Q139" s="4">
        <v>2.5099999999999998</v>
      </c>
      <c r="R139" s="4">
        <v>2.9</v>
      </c>
      <c r="S139" s="4">
        <v>2.8</v>
      </c>
      <c r="T139" s="3"/>
      <c r="U139" s="3"/>
      <c r="V139" s="3"/>
      <c r="W139" s="3"/>
      <c r="X139" s="3"/>
      <c r="Y139" s="3"/>
      <c r="Z139">
        <f>VLOOKUP(A139,[1]Worksheet!$A$1:$A$510,1,0)</f>
        <v>260</v>
      </c>
      <c r="AA139">
        <f t="shared" si="2"/>
        <v>1</v>
      </c>
    </row>
    <row r="140" spans="1:27" hidden="1" x14ac:dyDescent="0.3">
      <c r="A140" s="1">
        <v>261</v>
      </c>
      <c r="B140" s="1" t="s">
        <v>324</v>
      </c>
      <c r="C140" s="1" t="s">
        <v>47</v>
      </c>
      <c r="D140" s="1" t="s">
        <v>141</v>
      </c>
      <c r="E140" s="1" t="s">
        <v>40</v>
      </c>
      <c r="F140" s="1" t="s">
        <v>29</v>
      </c>
      <c r="G140" s="1" t="s">
        <v>41</v>
      </c>
      <c r="H140" s="1" t="s">
        <v>31</v>
      </c>
      <c r="I140" s="1">
        <v>2.2000000000000002</v>
      </c>
      <c r="J140" s="1" t="s">
        <v>325</v>
      </c>
      <c r="K140" s="1" t="s">
        <v>33</v>
      </c>
      <c r="L140" s="1" t="s">
        <v>33</v>
      </c>
      <c r="M140" s="1" t="s">
        <v>34</v>
      </c>
      <c r="N140" s="4">
        <v>2.1</v>
      </c>
      <c r="O140" s="6">
        <v>2.2999999999999998</v>
      </c>
      <c r="P140" s="4">
        <v>2.2000000000000002</v>
      </c>
      <c r="Q140" s="4">
        <v>2.2000000000000002</v>
      </c>
      <c r="R140" s="4">
        <v>2.06</v>
      </c>
      <c r="S140" s="5">
        <v>1.98</v>
      </c>
      <c r="T140" s="3"/>
      <c r="U140" s="3"/>
      <c r="V140" s="3"/>
      <c r="W140" s="3"/>
      <c r="X140" s="3"/>
      <c r="Y140" s="3"/>
      <c r="Z140">
        <f>VLOOKUP(A140,[1]Worksheet!$A$1:$A$510,1,0)</f>
        <v>261</v>
      </c>
      <c r="AA140">
        <f t="shared" si="2"/>
        <v>1</v>
      </c>
    </row>
    <row r="141" spans="1:27" hidden="1" x14ac:dyDescent="0.3">
      <c r="A141" s="1">
        <v>262</v>
      </c>
      <c r="B141" s="1" t="s">
        <v>326</v>
      </c>
      <c r="C141" s="1" t="s">
        <v>47</v>
      </c>
      <c r="D141" s="1" t="s">
        <v>327</v>
      </c>
      <c r="E141" s="1" t="s">
        <v>44</v>
      </c>
      <c r="F141" s="1" t="s">
        <v>29</v>
      </c>
      <c r="G141" s="1" t="s">
        <v>41</v>
      </c>
      <c r="H141" s="1" t="s">
        <v>31</v>
      </c>
      <c r="I141" s="1"/>
      <c r="J141" s="1" t="s">
        <v>328</v>
      </c>
      <c r="K141" s="1" t="s">
        <v>33</v>
      </c>
      <c r="L141" s="1" t="s">
        <v>33</v>
      </c>
      <c r="M141" s="1" t="s">
        <v>34</v>
      </c>
      <c r="N141" s="9">
        <v>0</v>
      </c>
      <c r="O141" s="5">
        <v>0</v>
      </c>
      <c r="P141" s="5">
        <v>0</v>
      </c>
      <c r="Q141" s="5">
        <v>0</v>
      </c>
      <c r="R141" s="5">
        <v>11.11</v>
      </c>
      <c r="S141" s="5">
        <v>0</v>
      </c>
      <c r="T141" s="3"/>
      <c r="U141" s="3"/>
      <c r="V141" s="3"/>
      <c r="W141" s="3"/>
      <c r="X141" s="3"/>
      <c r="Y141" s="3"/>
      <c r="Z141">
        <f>VLOOKUP(A141,[1]Worksheet!$A$1:$A$510,1,0)</f>
        <v>262</v>
      </c>
      <c r="AA141">
        <f t="shared" si="2"/>
        <v>1</v>
      </c>
    </row>
    <row r="142" spans="1:27" hidden="1" x14ac:dyDescent="0.3">
      <c r="A142" s="1">
        <v>268</v>
      </c>
      <c r="B142" s="1" t="s">
        <v>335</v>
      </c>
      <c r="C142" s="1" t="s">
        <v>47</v>
      </c>
      <c r="D142" s="1" t="s">
        <v>336</v>
      </c>
      <c r="E142" s="1" t="s">
        <v>116</v>
      </c>
      <c r="F142" s="1" t="s">
        <v>29</v>
      </c>
      <c r="G142" s="1" t="s">
        <v>30</v>
      </c>
      <c r="H142" s="1" t="s">
        <v>31</v>
      </c>
      <c r="I142" s="1" t="s">
        <v>117</v>
      </c>
      <c r="J142" s="1" t="s">
        <v>337</v>
      </c>
      <c r="K142" s="1" t="s">
        <v>33</v>
      </c>
      <c r="L142" s="1" t="s">
        <v>33</v>
      </c>
      <c r="M142" s="1" t="s">
        <v>34</v>
      </c>
      <c r="N142" s="8">
        <v>877</v>
      </c>
      <c r="O142" s="8">
        <v>765</v>
      </c>
      <c r="P142" s="8">
        <v>732</v>
      </c>
      <c r="Q142" s="8">
        <v>743</v>
      </c>
      <c r="R142" s="8">
        <v>727</v>
      </c>
      <c r="S142" s="8">
        <v>661</v>
      </c>
      <c r="T142" s="3"/>
      <c r="U142" s="3"/>
      <c r="V142" s="3"/>
      <c r="W142" s="3"/>
      <c r="X142" s="3"/>
      <c r="Y142" s="3"/>
      <c r="Z142">
        <f>VLOOKUP(A142,[1]Worksheet!$A$1:$A$510,1,0)</f>
        <v>268</v>
      </c>
      <c r="AA142">
        <f t="shared" si="2"/>
        <v>1</v>
      </c>
    </row>
    <row r="143" spans="1:27" hidden="1" x14ac:dyDescent="0.3">
      <c r="A143" s="1">
        <v>269</v>
      </c>
      <c r="B143" s="1" t="s">
        <v>338</v>
      </c>
      <c r="C143" s="1" t="s">
        <v>26</v>
      </c>
      <c r="D143" s="1" t="s">
        <v>336</v>
      </c>
      <c r="E143" s="1" t="s">
        <v>116</v>
      </c>
      <c r="F143" s="1" t="s">
        <v>29</v>
      </c>
      <c r="G143" s="1" t="s">
        <v>30</v>
      </c>
      <c r="H143" s="1" t="s">
        <v>31</v>
      </c>
      <c r="I143" s="1" t="s">
        <v>117</v>
      </c>
      <c r="J143" s="1" t="s">
        <v>339</v>
      </c>
      <c r="K143" s="1" t="s">
        <v>33</v>
      </c>
      <c r="L143" s="1" t="s">
        <v>33</v>
      </c>
      <c r="M143" s="1" t="s">
        <v>34</v>
      </c>
      <c r="N143" s="8">
        <v>1.65</v>
      </c>
      <c r="O143" s="8">
        <v>1.83</v>
      </c>
      <c r="P143" s="8">
        <v>1.28</v>
      </c>
      <c r="Q143" s="8">
        <v>3</v>
      </c>
      <c r="R143" s="8">
        <v>1.2769784172661871</v>
      </c>
      <c r="S143" s="8">
        <v>0.4</v>
      </c>
      <c r="T143" s="3"/>
      <c r="U143" s="3"/>
      <c r="V143" s="3"/>
      <c r="W143" s="3"/>
      <c r="X143" s="3"/>
      <c r="Y143" s="3"/>
      <c r="Z143">
        <f>VLOOKUP(A143,[1]Worksheet!$A$1:$A$510,1,0)</f>
        <v>269</v>
      </c>
      <c r="AA143">
        <f t="shared" si="2"/>
        <v>1</v>
      </c>
    </row>
    <row r="144" spans="1:27" hidden="1" x14ac:dyDescent="0.3">
      <c r="A144" s="1">
        <v>270</v>
      </c>
      <c r="B144" s="1" t="s">
        <v>340</v>
      </c>
      <c r="C144" s="1" t="s">
        <v>26</v>
      </c>
      <c r="D144" s="1" t="s">
        <v>336</v>
      </c>
      <c r="E144" s="1" t="s">
        <v>116</v>
      </c>
      <c r="F144" s="1" t="s">
        <v>29</v>
      </c>
      <c r="G144" s="1" t="s">
        <v>30</v>
      </c>
      <c r="H144" s="1" t="s">
        <v>31</v>
      </c>
      <c r="I144" s="1" t="s">
        <v>117</v>
      </c>
      <c r="J144" s="1" t="s">
        <v>341</v>
      </c>
      <c r="K144" s="1" t="s">
        <v>33</v>
      </c>
      <c r="L144" s="1" t="s">
        <v>33</v>
      </c>
      <c r="M144" s="1" t="s">
        <v>34</v>
      </c>
      <c r="N144" s="8">
        <v>4.3</v>
      </c>
      <c r="O144" s="8">
        <v>4.17</v>
      </c>
      <c r="P144" s="8">
        <v>4.57</v>
      </c>
      <c r="Q144" s="8">
        <v>4.88</v>
      </c>
      <c r="R144" s="8">
        <v>3.83</v>
      </c>
      <c r="S144" s="8">
        <v>6.55</v>
      </c>
      <c r="T144" s="3"/>
      <c r="U144" s="3"/>
      <c r="V144" s="3"/>
      <c r="W144" s="3"/>
      <c r="X144" s="3"/>
      <c r="Y144" s="3"/>
      <c r="Z144">
        <f>VLOOKUP(A144,[1]Worksheet!$A$1:$A$510,1,0)</f>
        <v>270</v>
      </c>
      <c r="AA144">
        <f t="shared" si="2"/>
        <v>1</v>
      </c>
    </row>
    <row r="145" spans="1:27" hidden="1" x14ac:dyDescent="0.3">
      <c r="A145" s="1">
        <v>271</v>
      </c>
      <c r="B145" s="1" t="s">
        <v>342</v>
      </c>
      <c r="C145" s="1" t="s">
        <v>26</v>
      </c>
      <c r="D145" s="1" t="s">
        <v>336</v>
      </c>
      <c r="E145" s="1" t="s">
        <v>116</v>
      </c>
      <c r="F145" s="1" t="s">
        <v>29</v>
      </c>
      <c r="G145" s="1" t="s">
        <v>30</v>
      </c>
      <c r="H145" s="1" t="s">
        <v>31</v>
      </c>
      <c r="I145" s="1" t="s">
        <v>117</v>
      </c>
      <c r="J145" s="1" t="s">
        <v>343</v>
      </c>
      <c r="K145" s="1" t="s">
        <v>33</v>
      </c>
      <c r="L145" s="1" t="s">
        <v>33</v>
      </c>
      <c r="M145" s="1" t="s">
        <v>34</v>
      </c>
      <c r="N145" s="8">
        <v>19.93</v>
      </c>
      <c r="O145" s="8">
        <v>23.85</v>
      </c>
      <c r="P145" s="8">
        <v>16.86</v>
      </c>
      <c r="Q145" s="8">
        <v>19.394716523273772</v>
      </c>
      <c r="R145" s="8">
        <v>16.172336466434469</v>
      </c>
      <c r="S145" s="8">
        <v>63.291139240506332</v>
      </c>
      <c r="T145" s="3"/>
      <c r="U145" s="3"/>
      <c r="V145" s="3"/>
      <c r="W145" s="3"/>
      <c r="X145" s="3"/>
      <c r="Y145" s="3"/>
      <c r="Z145">
        <f>VLOOKUP(A145,[1]Worksheet!$A$1:$A$510,1,0)</f>
        <v>271</v>
      </c>
      <c r="AA145">
        <f t="shared" si="2"/>
        <v>1</v>
      </c>
    </row>
    <row r="146" spans="1:27" hidden="1" x14ac:dyDescent="0.3">
      <c r="A146" s="1">
        <v>273</v>
      </c>
      <c r="B146" s="1" t="s">
        <v>346</v>
      </c>
      <c r="C146" s="1" t="s">
        <v>47</v>
      </c>
      <c r="D146" s="1" t="s">
        <v>347</v>
      </c>
      <c r="E146" s="1" t="s">
        <v>40</v>
      </c>
      <c r="F146" s="1" t="s">
        <v>29</v>
      </c>
      <c r="G146" s="1" t="s">
        <v>30</v>
      </c>
      <c r="H146" s="1" t="s">
        <v>31</v>
      </c>
      <c r="I146" s="1">
        <v>100</v>
      </c>
      <c r="J146" s="1" t="s">
        <v>348</v>
      </c>
      <c r="K146" s="1" t="s">
        <v>33</v>
      </c>
      <c r="L146" s="1" t="s">
        <v>33</v>
      </c>
      <c r="M146" s="1" t="s">
        <v>34</v>
      </c>
      <c r="N146" s="4">
        <v>100</v>
      </c>
      <c r="O146" s="5">
        <v>150</v>
      </c>
      <c r="P146" s="4">
        <v>100</v>
      </c>
      <c r="Q146" s="4">
        <v>100</v>
      </c>
      <c r="R146" s="4">
        <v>100</v>
      </c>
      <c r="S146" s="4">
        <v>100</v>
      </c>
      <c r="T146" s="3"/>
      <c r="U146" s="3"/>
      <c r="V146" s="3"/>
      <c r="W146" s="3"/>
      <c r="X146" s="3"/>
      <c r="Y146" s="3"/>
      <c r="Z146">
        <f>VLOOKUP(A146,[1]Worksheet!$A$1:$A$510,1,0)</f>
        <v>273</v>
      </c>
      <c r="AA146">
        <f t="shared" si="2"/>
        <v>1</v>
      </c>
    </row>
    <row r="147" spans="1:27" hidden="1" x14ac:dyDescent="0.3">
      <c r="A147" s="1">
        <v>274</v>
      </c>
      <c r="B147" s="1" t="s">
        <v>349</v>
      </c>
      <c r="C147" s="1" t="s">
        <v>47</v>
      </c>
      <c r="D147" s="1" t="s">
        <v>322</v>
      </c>
      <c r="E147" s="1" t="s">
        <v>28</v>
      </c>
      <c r="F147" s="1" t="s">
        <v>29</v>
      </c>
      <c r="G147" s="1" t="s">
        <v>30</v>
      </c>
      <c r="H147" s="1" t="s">
        <v>153</v>
      </c>
      <c r="I147" s="1">
        <v>100</v>
      </c>
      <c r="J147" s="1" t="s">
        <v>350</v>
      </c>
      <c r="K147" s="1" t="s">
        <v>155</v>
      </c>
      <c r="L147" s="1" t="s">
        <v>34</v>
      </c>
      <c r="M147" s="1" t="s">
        <v>34</v>
      </c>
      <c r="N147" s="5">
        <v>102.03</v>
      </c>
      <c r="O147" s="5">
        <v>105.8</v>
      </c>
      <c r="P147" s="5">
        <v>101.60875003065451</v>
      </c>
      <c r="Q147" s="5">
        <v>102.33930181631</v>
      </c>
      <c r="R147" s="6">
        <v>97.505500813164005</v>
      </c>
      <c r="S147" s="6">
        <v>97.855020351087006</v>
      </c>
      <c r="T147" s="3" t="s">
        <v>59</v>
      </c>
      <c r="U147" s="3" t="s">
        <v>59</v>
      </c>
      <c r="V147" s="3" t="s">
        <v>59</v>
      </c>
      <c r="W147" s="3" t="s">
        <v>59</v>
      </c>
      <c r="X147" s="3" t="s">
        <v>59</v>
      </c>
      <c r="Y147" s="3" t="s">
        <v>59</v>
      </c>
      <c r="Z147">
        <f>VLOOKUP(A147,[1]Worksheet!$A$1:$A$510,1,0)</f>
        <v>274</v>
      </c>
      <c r="AA147">
        <f t="shared" si="2"/>
        <v>1</v>
      </c>
    </row>
    <row r="148" spans="1:27" hidden="1" x14ac:dyDescent="0.3">
      <c r="A148" s="1">
        <v>275</v>
      </c>
      <c r="B148" s="1" t="s">
        <v>359</v>
      </c>
      <c r="C148" s="1" t="s">
        <v>47</v>
      </c>
      <c r="D148" s="1" t="s">
        <v>360</v>
      </c>
      <c r="E148" s="1" t="s">
        <v>44</v>
      </c>
      <c r="F148" s="1" t="s">
        <v>29</v>
      </c>
      <c r="G148" s="1" t="s">
        <v>30</v>
      </c>
      <c r="H148" s="1" t="s">
        <v>153</v>
      </c>
      <c r="I148" s="1">
        <v>80</v>
      </c>
      <c r="J148" s="1" t="s">
        <v>361</v>
      </c>
      <c r="K148" s="1" t="s">
        <v>207</v>
      </c>
      <c r="L148" s="1" t="s">
        <v>34</v>
      </c>
      <c r="M148" s="1" t="s">
        <v>34</v>
      </c>
      <c r="N148" s="5">
        <v>91.67</v>
      </c>
      <c r="O148" s="5">
        <v>90</v>
      </c>
      <c r="P148" s="5">
        <v>109.58</v>
      </c>
      <c r="Q148" s="5">
        <v>103.75</v>
      </c>
      <c r="R148" s="3">
        <v>0</v>
      </c>
      <c r="S148" s="3" t="s">
        <v>59</v>
      </c>
      <c r="T148" s="3">
        <v>0</v>
      </c>
      <c r="U148" s="3" t="s">
        <v>59</v>
      </c>
      <c r="V148" s="3">
        <v>0</v>
      </c>
      <c r="W148" s="3" t="s">
        <v>59</v>
      </c>
      <c r="X148" s="3">
        <v>0</v>
      </c>
      <c r="Y148" s="3" t="s">
        <v>59</v>
      </c>
      <c r="Z148">
        <f>VLOOKUP(A148,[1]Worksheet!$A$1:$A$510,1,0)</f>
        <v>275</v>
      </c>
      <c r="AA148">
        <f t="shared" si="2"/>
        <v>1</v>
      </c>
    </row>
    <row r="149" spans="1:27" hidden="1" x14ac:dyDescent="0.3">
      <c r="A149" s="1">
        <v>276</v>
      </c>
      <c r="B149" s="1" t="s">
        <v>368</v>
      </c>
      <c r="C149" s="1" t="s">
        <v>47</v>
      </c>
      <c r="D149" s="1" t="s">
        <v>369</v>
      </c>
      <c r="E149" s="1" t="s">
        <v>28</v>
      </c>
      <c r="F149" s="1" t="s">
        <v>29</v>
      </c>
      <c r="G149" s="1" t="s">
        <v>41</v>
      </c>
      <c r="H149" s="1" t="s">
        <v>31</v>
      </c>
      <c r="I149" s="1">
        <v>81</v>
      </c>
      <c r="J149" s="1" t="s">
        <v>370</v>
      </c>
      <c r="K149" s="1" t="s">
        <v>33</v>
      </c>
      <c r="L149" s="1" t="s">
        <v>33</v>
      </c>
      <c r="M149" s="1" t="s">
        <v>34</v>
      </c>
      <c r="N149" s="6">
        <v>82.81</v>
      </c>
      <c r="O149" s="6">
        <v>84.18</v>
      </c>
      <c r="P149" s="6">
        <v>82.68</v>
      </c>
      <c r="Q149" s="6">
        <v>83.65</v>
      </c>
      <c r="R149" s="4">
        <v>84.5</v>
      </c>
      <c r="S149" s="6">
        <v>89.99</v>
      </c>
      <c r="T149" s="3"/>
      <c r="U149" s="3"/>
      <c r="V149" s="3"/>
      <c r="W149" s="3"/>
      <c r="X149" s="3"/>
      <c r="Y149" s="3"/>
      <c r="Z149">
        <f>VLOOKUP(A149,[1]Worksheet!$A$1:$A$510,1,0)</f>
        <v>276</v>
      </c>
      <c r="AA149">
        <f t="shared" si="2"/>
        <v>1</v>
      </c>
    </row>
    <row r="150" spans="1:27" hidden="1" x14ac:dyDescent="0.3">
      <c r="A150" s="1">
        <v>277</v>
      </c>
      <c r="B150" s="1" t="s">
        <v>371</v>
      </c>
      <c r="C150" s="1" t="s">
        <v>47</v>
      </c>
      <c r="D150" s="1" t="s">
        <v>369</v>
      </c>
      <c r="E150" s="1" t="s">
        <v>28</v>
      </c>
      <c r="F150" s="1" t="s">
        <v>29</v>
      </c>
      <c r="G150" s="1" t="s">
        <v>41</v>
      </c>
      <c r="H150" s="1" t="s">
        <v>31</v>
      </c>
      <c r="I150" s="1">
        <v>71</v>
      </c>
      <c r="J150" s="1" t="s">
        <v>372</v>
      </c>
      <c r="K150" s="1" t="s">
        <v>33</v>
      </c>
      <c r="L150" s="1" t="s">
        <v>33</v>
      </c>
      <c r="M150" s="1" t="s">
        <v>34</v>
      </c>
      <c r="N150" s="5">
        <v>68.400000000000006</v>
      </c>
      <c r="O150" s="4">
        <v>69.39</v>
      </c>
      <c r="P150" s="4">
        <v>71.239999999999995</v>
      </c>
      <c r="Q150" s="4">
        <v>71.180000000000007</v>
      </c>
      <c r="R150" s="5">
        <v>73.290000000000006</v>
      </c>
      <c r="S150" s="5">
        <v>76.48</v>
      </c>
      <c r="T150" s="3"/>
      <c r="U150" s="3"/>
      <c r="V150" s="3"/>
      <c r="W150" s="3"/>
      <c r="X150" s="3"/>
      <c r="Y150" s="3"/>
      <c r="Z150">
        <f>VLOOKUP(A150,[1]Worksheet!$A$1:$A$510,1,0)</f>
        <v>277</v>
      </c>
      <c r="AA150">
        <f t="shared" si="2"/>
        <v>1</v>
      </c>
    </row>
    <row r="151" spans="1:27" hidden="1" x14ac:dyDescent="0.3">
      <c r="A151" s="1">
        <v>278</v>
      </c>
      <c r="B151" s="1" t="s">
        <v>373</v>
      </c>
      <c r="C151" s="1" t="s">
        <v>26</v>
      </c>
      <c r="D151" s="1" t="s">
        <v>369</v>
      </c>
      <c r="E151" s="1" t="s">
        <v>116</v>
      </c>
      <c r="F151" s="1" t="s">
        <v>29</v>
      </c>
      <c r="G151" s="1" t="s">
        <v>30</v>
      </c>
      <c r="H151" s="1" t="s">
        <v>153</v>
      </c>
      <c r="I151" s="1" t="s">
        <v>117</v>
      </c>
      <c r="J151" s="1" t="s">
        <v>374</v>
      </c>
      <c r="K151" s="1" t="s">
        <v>223</v>
      </c>
      <c r="L151" s="1" t="s">
        <v>34</v>
      </c>
      <c r="M151" s="1" t="s">
        <v>34</v>
      </c>
      <c r="N151" s="8">
        <v>1071</v>
      </c>
      <c r="O151" s="8">
        <v>1099</v>
      </c>
      <c r="P151" s="8">
        <v>1018</v>
      </c>
      <c r="Q151" s="8">
        <v>1080</v>
      </c>
      <c r="R151" s="8">
        <v>1017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>
        <f>VLOOKUP(A151,[1]Worksheet!$A$1:$A$510,1,0)</f>
        <v>278</v>
      </c>
      <c r="AA151">
        <f t="shared" si="2"/>
        <v>1</v>
      </c>
    </row>
    <row r="152" spans="1:27" hidden="1" x14ac:dyDescent="0.3">
      <c r="A152" s="1">
        <v>282</v>
      </c>
      <c r="B152" s="1" t="s">
        <v>381</v>
      </c>
      <c r="C152" s="1" t="s">
        <v>26</v>
      </c>
      <c r="D152" s="1" t="s">
        <v>369</v>
      </c>
      <c r="E152" s="1" t="s">
        <v>28</v>
      </c>
      <c r="F152" s="1" t="s">
        <v>29</v>
      </c>
      <c r="G152" s="1" t="s">
        <v>30</v>
      </c>
      <c r="H152" s="1" t="s">
        <v>31</v>
      </c>
      <c r="I152" s="1">
        <v>97</v>
      </c>
      <c r="J152" s="1" t="s">
        <v>382</v>
      </c>
      <c r="K152" s="1" t="s">
        <v>33</v>
      </c>
      <c r="L152" s="1" t="s">
        <v>33</v>
      </c>
      <c r="M152" s="1" t="s">
        <v>34</v>
      </c>
      <c r="N152" s="4">
        <v>97.56</v>
      </c>
      <c r="O152" s="4">
        <v>97.41</v>
      </c>
      <c r="P152" s="6">
        <v>96.84</v>
      </c>
      <c r="Q152" s="4">
        <v>97.02</v>
      </c>
      <c r="R152" s="5">
        <v>97.34</v>
      </c>
      <c r="S152" s="5">
        <v>97.02</v>
      </c>
      <c r="T152" s="3"/>
      <c r="U152" s="3"/>
      <c r="V152" s="3"/>
      <c r="W152" s="3"/>
      <c r="X152" s="3"/>
      <c r="Y152" s="3"/>
      <c r="Z152">
        <f>VLOOKUP(A152,[1]Worksheet!$A$1:$A$510,1,0)</f>
        <v>282</v>
      </c>
      <c r="AA152">
        <f t="shared" si="2"/>
        <v>1</v>
      </c>
    </row>
    <row r="153" spans="1:27" hidden="1" x14ac:dyDescent="0.3">
      <c r="A153" s="1">
        <v>283</v>
      </c>
      <c r="B153" s="1" t="s">
        <v>383</v>
      </c>
      <c r="C153" s="1" t="s">
        <v>26</v>
      </c>
      <c r="D153" s="1" t="s">
        <v>369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>
        <v>4.5999999999999996</v>
      </c>
      <c r="J153" s="1" t="s">
        <v>384</v>
      </c>
      <c r="K153" s="1" t="s">
        <v>33</v>
      </c>
      <c r="L153" s="1" t="s">
        <v>33</v>
      </c>
      <c r="M153" s="1" t="s">
        <v>34</v>
      </c>
      <c r="N153" s="4">
        <v>4.67</v>
      </c>
      <c r="O153" s="4">
        <v>4.66</v>
      </c>
      <c r="P153" s="5">
        <v>4.6399999999999997</v>
      </c>
      <c r="Q153" s="4">
        <v>4.57</v>
      </c>
      <c r="R153" s="4">
        <v>4.55</v>
      </c>
      <c r="S153" s="4">
        <v>4.5999999999999996</v>
      </c>
      <c r="T153" s="3"/>
      <c r="U153" s="3"/>
      <c r="V153" s="3"/>
      <c r="W153" s="3"/>
      <c r="X153" s="3"/>
      <c r="Y153" s="3"/>
      <c r="Z153">
        <f>VLOOKUP(A153,[1]Worksheet!$A$1:$A$510,1,0)</f>
        <v>283</v>
      </c>
      <c r="AA153">
        <f t="shared" si="2"/>
        <v>1</v>
      </c>
    </row>
    <row r="154" spans="1:27" hidden="1" x14ac:dyDescent="0.3">
      <c r="A154" s="1">
        <v>285</v>
      </c>
      <c r="B154" s="1" t="s">
        <v>385</v>
      </c>
      <c r="C154" s="1" t="s">
        <v>26</v>
      </c>
      <c r="D154" s="1" t="s">
        <v>369</v>
      </c>
      <c r="E154" s="1" t="s">
        <v>28</v>
      </c>
      <c r="F154" s="1" t="s">
        <v>29</v>
      </c>
      <c r="G154" s="1" t="s">
        <v>30</v>
      </c>
      <c r="H154" s="1" t="s">
        <v>31</v>
      </c>
      <c r="I154" s="1">
        <v>100</v>
      </c>
      <c r="J154" s="1" t="s">
        <v>386</v>
      </c>
      <c r="K154" s="1" t="s">
        <v>33</v>
      </c>
      <c r="L154" s="1" t="s">
        <v>33</v>
      </c>
      <c r="M154" s="1" t="s">
        <v>34</v>
      </c>
      <c r="N154" s="4">
        <v>100</v>
      </c>
      <c r="O154" s="4">
        <v>100</v>
      </c>
      <c r="P154" s="4">
        <v>100</v>
      </c>
      <c r="Q154" s="4">
        <v>100</v>
      </c>
      <c r="R154" s="4">
        <v>100</v>
      </c>
      <c r="S154" s="4">
        <v>100</v>
      </c>
      <c r="T154" s="3"/>
      <c r="U154" s="3"/>
      <c r="V154" s="3"/>
      <c r="W154" s="3"/>
      <c r="X154" s="3"/>
      <c r="Y154" s="3"/>
      <c r="Z154">
        <f>VLOOKUP(A154,[1]Worksheet!$A$1:$A$510,1,0)</f>
        <v>285</v>
      </c>
      <c r="AA154">
        <f t="shared" si="2"/>
        <v>1</v>
      </c>
    </row>
    <row r="155" spans="1:27" hidden="1" x14ac:dyDescent="0.3">
      <c r="A155" s="1">
        <v>286</v>
      </c>
      <c r="B155" s="1" t="s">
        <v>387</v>
      </c>
      <c r="C155" s="1" t="s">
        <v>26</v>
      </c>
      <c r="D155" s="1" t="s">
        <v>369</v>
      </c>
      <c r="E155" s="1" t="s">
        <v>116</v>
      </c>
      <c r="F155" s="1" t="s">
        <v>29</v>
      </c>
      <c r="G155" s="1" t="s">
        <v>30</v>
      </c>
      <c r="H155" s="1" t="s">
        <v>153</v>
      </c>
      <c r="I155" s="1" t="s">
        <v>117</v>
      </c>
      <c r="J155" s="1" t="s">
        <v>388</v>
      </c>
      <c r="K155" s="1" t="s">
        <v>223</v>
      </c>
      <c r="L155" s="1" t="s">
        <v>34</v>
      </c>
      <c r="M155" s="1" t="s">
        <v>34</v>
      </c>
      <c r="N155" s="8">
        <v>1071</v>
      </c>
      <c r="O155" s="8">
        <v>1099</v>
      </c>
      <c r="P155" s="8">
        <v>1018</v>
      </c>
      <c r="Q155" s="8">
        <v>1080</v>
      </c>
      <c r="R155" s="8">
        <v>1017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>
        <f>VLOOKUP(A155,[1]Worksheet!$A$1:$A$510,1,0)</f>
        <v>286</v>
      </c>
      <c r="AA155">
        <f t="shared" si="2"/>
        <v>1</v>
      </c>
    </row>
    <row r="156" spans="1:27" hidden="1" x14ac:dyDescent="0.3">
      <c r="A156" s="1">
        <v>292</v>
      </c>
      <c r="B156" s="1" t="s">
        <v>421</v>
      </c>
      <c r="C156" s="1" t="s">
        <v>26</v>
      </c>
      <c r="D156" s="1" t="s">
        <v>422</v>
      </c>
      <c r="E156" s="1" t="s">
        <v>28</v>
      </c>
      <c r="F156" s="1" t="s">
        <v>29</v>
      </c>
      <c r="G156" s="1" t="s">
        <v>30</v>
      </c>
      <c r="H156" s="1" t="s">
        <v>153</v>
      </c>
      <c r="I156" s="1">
        <v>8</v>
      </c>
      <c r="J156" s="1" t="s">
        <v>423</v>
      </c>
      <c r="K156" s="1" t="s">
        <v>155</v>
      </c>
      <c r="L156" s="1" t="s">
        <v>34</v>
      </c>
      <c r="M156" s="1" t="s">
        <v>34</v>
      </c>
      <c r="N156" s="5">
        <v>11.21</v>
      </c>
      <c r="O156" s="4">
        <v>9.7899999999999991</v>
      </c>
      <c r="P156" s="5">
        <v>14.263862332695989</v>
      </c>
      <c r="Q156" s="5">
        <v>23.313905079100739</v>
      </c>
      <c r="R156" s="5">
        <v>27.659574468085001</v>
      </c>
      <c r="S156" s="5">
        <v>10.990099009901</v>
      </c>
      <c r="T156" s="3" t="s">
        <v>59</v>
      </c>
      <c r="U156" s="3" t="s">
        <v>59</v>
      </c>
      <c r="V156" s="3" t="s">
        <v>59</v>
      </c>
      <c r="W156" s="3" t="s">
        <v>59</v>
      </c>
      <c r="X156" s="3" t="s">
        <v>59</v>
      </c>
      <c r="Y156" s="3" t="s">
        <v>59</v>
      </c>
      <c r="Z156">
        <f>VLOOKUP(A156,[1]Worksheet!$A$1:$A$510,1,0)</f>
        <v>292</v>
      </c>
      <c r="AA156">
        <f t="shared" si="2"/>
        <v>1</v>
      </c>
    </row>
    <row r="157" spans="1:27" hidden="1" x14ac:dyDescent="0.3">
      <c r="A157" s="1">
        <v>294</v>
      </c>
      <c r="B157" s="1" t="s">
        <v>426</v>
      </c>
      <c r="C157" s="1" t="s">
        <v>26</v>
      </c>
      <c r="D157" s="1" t="s">
        <v>422</v>
      </c>
      <c r="E157" s="1" t="s">
        <v>28</v>
      </c>
      <c r="F157" s="1" t="s">
        <v>29</v>
      </c>
      <c r="G157" s="1" t="s">
        <v>30</v>
      </c>
      <c r="H157" s="1" t="s">
        <v>153</v>
      </c>
      <c r="I157" s="1">
        <v>8</v>
      </c>
      <c r="J157" s="1" t="s">
        <v>427</v>
      </c>
      <c r="K157" s="1" t="s">
        <v>155</v>
      </c>
      <c r="L157" s="1" t="s">
        <v>34</v>
      </c>
      <c r="M157" s="1" t="s">
        <v>34</v>
      </c>
      <c r="N157" s="5">
        <v>54.02</v>
      </c>
      <c r="O157" s="7">
        <v>-9.19</v>
      </c>
      <c r="P157" s="5">
        <v>5.5</v>
      </c>
      <c r="Q157" s="5">
        <v>26.27669452181987</v>
      </c>
      <c r="R157" s="5">
        <v>41.986754966886998</v>
      </c>
      <c r="S157" s="5">
        <v>30.158730158729998</v>
      </c>
      <c r="T157" s="3" t="s">
        <v>59</v>
      </c>
      <c r="U157" s="3" t="s">
        <v>59</v>
      </c>
      <c r="V157" s="3" t="s">
        <v>59</v>
      </c>
      <c r="W157" s="3" t="s">
        <v>59</v>
      </c>
      <c r="X157" s="3" t="s">
        <v>59</v>
      </c>
      <c r="Y157" s="3" t="s">
        <v>59</v>
      </c>
      <c r="Z157">
        <f>VLOOKUP(A157,[1]Worksheet!$A$1:$A$510,1,0)</f>
        <v>294</v>
      </c>
      <c r="AA157">
        <f t="shared" si="2"/>
        <v>1</v>
      </c>
    </row>
    <row r="158" spans="1:27" hidden="1" x14ac:dyDescent="0.3">
      <c r="A158" s="1">
        <v>302</v>
      </c>
      <c r="B158" s="1" t="s">
        <v>433</v>
      </c>
      <c r="C158" s="1" t="s">
        <v>26</v>
      </c>
      <c r="D158" s="1" t="s">
        <v>336</v>
      </c>
      <c r="E158" s="1" t="s">
        <v>116</v>
      </c>
      <c r="F158" s="1" t="s">
        <v>29</v>
      </c>
      <c r="G158" s="1" t="s">
        <v>30</v>
      </c>
      <c r="H158" s="1" t="s">
        <v>153</v>
      </c>
      <c r="I158" s="1" t="s">
        <v>117</v>
      </c>
      <c r="J158" s="1" t="s">
        <v>434</v>
      </c>
      <c r="K158" s="1" t="s">
        <v>223</v>
      </c>
      <c r="L158" s="1" t="s">
        <v>34</v>
      </c>
      <c r="M158" s="1" t="s">
        <v>34</v>
      </c>
      <c r="N158" s="8">
        <v>31371</v>
      </c>
      <c r="O158" s="8">
        <v>21712</v>
      </c>
      <c r="P158" s="8">
        <v>19142</v>
      </c>
      <c r="Q158" s="8">
        <v>17878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>
        <f>VLOOKUP(A158,[1]Worksheet!$A$1:$A$510,1,0)</f>
        <v>302</v>
      </c>
      <c r="AA158">
        <f t="shared" si="2"/>
        <v>1</v>
      </c>
    </row>
    <row r="159" spans="1:27" hidden="1" x14ac:dyDescent="0.3">
      <c r="A159" s="1">
        <v>303</v>
      </c>
      <c r="B159" s="1" t="s">
        <v>443</v>
      </c>
      <c r="C159" s="1" t="s">
        <v>26</v>
      </c>
      <c r="D159" s="1" t="s">
        <v>444</v>
      </c>
      <c r="E159" s="1" t="s">
        <v>28</v>
      </c>
      <c r="F159" s="1" t="s">
        <v>29</v>
      </c>
      <c r="G159" s="1" t="s">
        <v>30</v>
      </c>
      <c r="H159" s="1" t="s">
        <v>153</v>
      </c>
      <c r="I159" s="1">
        <v>95</v>
      </c>
      <c r="J159" s="1" t="s">
        <v>445</v>
      </c>
      <c r="K159" s="1" t="s">
        <v>155</v>
      </c>
      <c r="L159" s="1" t="s">
        <v>34</v>
      </c>
      <c r="M159" s="1" t="s">
        <v>34</v>
      </c>
      <c r="N159" s="4">
        <v>100</v>
      </c>
      <c r="O159" s="6">
        <v>90.32</v>
      </c>
      <c r="P159" s="4">
        <v>95.652173913043484</v>
      </c>
      <c r="Q159" s="4">
        <v>100</v>
      </c>
      <c r="R159" s="7">
        <v>79.545454545454547</v>
      </c>
      <c r="S159" s="7">
        <v>75.757575757576006</v>
      </c>
      <c r="T159" s="3" t="s">
        <v>59</v>
      </c>
      <c r="U159" s="3" t="s">
        <v>59</v>
      </c>
      <c r="V159" s="3"/>
      <c r="W159" s="3" t="s">
        <v>59</v>
      </c>
      <c r="X159" s="3" t="s">
        <v>59</v>
      </c>
      <c r="Y159" s="3" t="s">
        <v>59</v>
      </c>
      <c r="Z159">
        <f>VLOOKUP(A159,[1]Worksheet!$A$1:$A$510,1,0)</f>
        <v>303</v>
      </c>
      <c r="AA159">
        <f t="shared" si="2"/>
        <v>1</v>
      </c>
    </row>
    <row r="160" spans="1:27" hidden="1" x14ac:dyDescent="0.3">
      <c r="A160" s="1">
        <v>304</v>
      </c>
      <c r="B160" s="1" t="s">
        <v>446</v>
      </c>
      <c r="C160" s="1" t="s">
        <v>26</v>
      </c>
      <c r="D160" s="1" t="s">
        <v>444</v>
      </c>
      <c r="E160" s="1" t="s">
        <v>28</v>
      </c>
      <c r="F160" s="1" t="s">
        <v>29</v>
      </c>
      <c r="G160" s="1" t="s">
        <v>30</v>
      </c>
      <c r="H160" s="1" t="s">
        <v>31</v>
      </c>
      <c r="I160" s="1">
        <v>100</v>
      </c>
      <c r="J160" s="1" t="s">
        <v>447</v>
      </c>
      <c r="K160" s="1" t="s">
        <v>33</v>
      </c>
      <c r="L160" s="1" t="s">
        <v>33</v>
      </c>
      <c r="M160" s="1" t="s">
        <v>34</v>
      </c>
      <c r="N160" s="5">
        <v>116.09</v>
      </c>
      <c r="O160" s="6">
        <v>98.47</v>
      </c>
      <c r="P160" s="6">
        <v>83.56</v>
      </c>
      <c r="Q160" s="4">
        <v>100.12</v>
      </c>
      <c r="R160" s="5">
        <v>176.33</v>
      </c>
      <c r="S160" s="5">
        <v>189.86</v>
      </c>
      <c r="T160" s="3"/>
      <c r="U160" s="3"/>
      <c r="V160" s="3"/>
      <c r="W160" s="3"/>
      <c r="X160" s="3"/>
      <c r="Y160" s="3"/>
      <c r="Z160">
        <f>VLOOKUP(A160,[1]Worksheet!$A$1:$A$510,1,0)</f>
        <v>304</v>
      </c>
      <c r="AA160">
        <f t="shared" si="2"/>
        <v>1</v>
      </c>
    </row>
    <row r="161" spans="1:27" hidden="1" x14ac:dyDescent="0.3">
      <c r="A161" s="1">
        <v>323</v>
      </c>
      <c r="B161" s="1" t="s">
        <v>464</v>
      </c>
      <c r="C161" s="1" t="s">
        <v>47</v>
      </c>
      <c r="D161" s="1" t="s">
        <v>465</v>
      </c>
      <c r="E161" s="1" t="s">
        <v>28</v>
      </c>
      <c r="F161" s="1" t="s">
        <v>29</v>
      </c>
      <c r="G161" s="1" t="s">
        <v>30</v>
      </c>
      <c r="H161" s="1" t="s">
        <v>31</v>
      </c>
      <c r="I161" s="1">
        <v>100</v>
      </c>
      <c r="J161" s="1" t="s">
        <v>466</v>
      </c>
      <c r="K161" s="1" t="s">
        <v>33</v>
      </c>
      <c r="L161" s="1" t="s">
        <v>33</v>
      </c>
      <c r="M161" s="1" t="s">
        <v>34</v>
      </c>
      <c r="N161" s="4">
        <v>100</v>
      </c>
      <c r="O161" s="4">
        <v>100</v>
      </c>
      <c r="P161" s="3" t="s">
        <v>59</v>
      </c>
      <c r="Q161" s="4">
        <v>100</v>
      </c>
      <c r="R161" s="4">
        <v>100</v>
      </c>
      <c r="S161" s="4">
        <v>100</v>
      </c>
      <c r="T161" s="3"/>
      <c r="U161" s="3"/>
      <c r="V161" s="3"/>
      <c r="W161" s="3"/>
      <c r="X161" s="3"/>
      <c r="Y161" s="3"/>
      <c r="Z161">
        <f>VLOOKUP(A161,[1]Worksheet!$A$1:$A$510,1,0)</f>
        <v>323</v>
      </c>
      <c r="AA161">
        <f t="shared" si="2"/>
        <v>1</v>
      </c>
    </row>
    <row r="162" spans="1:27" hidden="1" x14ac:dyDescent="0.3">
      <c r="A162" s="1">
        <v>324</v>
      </c>
      <c r="B162" s="1" t="s">
        <v>467</v>
      </c>
      <c r="C162" s="1" t="s">
        <v>47</v>
      </c>
      <c r="D162" s="1" t="s">
        <v>465</v>
      </c>
      <c r="E162" s="1" t="s">
        <v>28</v>
      </c>
      <c r="F162" s="1" t="s">
        <v>29</v>
      </c>
      <c r="G162" s="1" t="s">
        <v>30</v>
      </c>
      <c r="H162" s="1" t="s">
        <v>31</v>
      </c>
      <c r="I162" s="1">
        <v>100</v>
      </c>
      <c r="J162" s="1" t="s">
        <v>468</v>
      </c>
      <c r="K162" s="1" t="s">
        <v>33</v>
      </c>
      <c r="L162" s="1" t="s">
        <v>33</v>
      </c>
      <c r="M162" s="1" t="s">
        <v>34</v>
      </c>
      <c r="N162" s="5">
        <v>200</v>
      </c>
      <c r="O162" s="4">
        <v>100</v>
      </c>
      <c r="P162" s="4">
        <v>100</v>
      </c>
      <c r="Q162" s="3" t="s">
        <v>59</v>
      </c>
      <c r="R162" s="4">
        <v>100</v>
      </c>
      <c r="S162" s="3" t="s">
        <v>59</v>
      </c>
      <c r="T162" s="3"/>
      <c r="U162" s="3"/>
      <c r="V162" s="3"/>
      <c r="W162" s="3"/>
      <c r="X162" s="3"/>
      <c r="Y162" s="3"/>
      <c r="Z162">
        <f>VLOOKUP(A162,[1]Worksheet!$A$1:$A$510,1,0)</f>
        <v>324</v>
      </c>
      <c r="AA162">
        <f t="shared" si="2"/>
        <v>1</v>
      </c>
    </row>
    <row r="163" spans="1:27" hidden="1" x14ac:dyDescent="0.3">
      <c r="A163" s="1">
        <v>325</v>
      </c>
      <c r="B163" s="1" t="s">
        <v>469</v>
      </c>
      <c r="C163" s="1" t="s">
        <v>47</v>
      </c>
      <c r="D163" s="1" t="s">
        <v>465</v>
      </c>
      <c r="E163" s="1" t="s">
        <v>116</v>
      </c>
      <c r="F163" s="1" t="s">
        <v>29</v>
      </c>
      <c r="G163" s="1" t="s">
        <v>30</v>
      </c>
      <c r="H163" s="1" t="s">
        <v>31</v>
      </c>
      <c r="I163" s="1" t="s">
        <v>117</v>
      </c>
      <c r="J163" s="1" t="s">
        <v>470</v>
      </c>
      <c r="K163" s="1" t="s">
        <v>33</v>
      </c>
      <c r="L163" s="1" t="s">
        <v>33</v>
      </c>
      <c r="M163" s="1" t="s">
        <v>34</v>
      </c>
      <c r="N163" s="8">
        <v>100</v>
      </c>
      <c r="O163" s="8">
        <v>100</v>
      </c>
      <c r="P163" s="8">
        <v>100</v>
      </c>
      <c r="Q163" s="8">
        <v>100</v>
      </c>
      <c r="R163" s="3" t="s">
        <v>59</v>
      </c>
      <c r="S163" s="8">
        <v>100</v>
      </c>
      <c r="T163" s="3"/>
      <c r="U163" s="3"/>
      <c r="V163" s="3"/>
      <c r="W163" s="3"/>
      <c r="X163" s="3"/>
      <c r="Y163" s="3"/>
      <c r="Z163">
        <f>VLOOKUP(A163,[1]Worksheet!$A$1:$A$510,1,0)</f>
        <v>325</v>
      </c>
      <c r="AA163">
        <f t="shared" si="2"/>
        <v>1</v>
      </c>
    </row>
    <row r="164" spans="1:27" hidden="1" x14ac:dyDescent="0.3">
      <c r="A164" s="1">
        <v>327</v>
      </c>
      <c r="B164" s="1" t="s">
        <v>473</v>
      </c>
      <c r="C164" s="1" t="s">
        <v>47</v>
      </c>
      <c r="D164" s="1" t="s">
        <v>347</v>
      </c>
      <c r="E164" s="1" t="s">
        <v>116</v>
      </c>
      <c r="F164" s="1" t="s">
        <v>29</v>
      </c>
      <c r="G164" s="1" t="s">
        <v>30</v>
      </c>
      <c r="H164" s="1" t="s">
        <v>31</v>
      </c>
      <c r="I164" s="1" t="s">
        <v>117</v>
      </c>
      <c r="J164" s="1" t="s">
        <v>474</v>
      </c>
      <c r="K164" s="1" t="s">
        <v>33</v>
      </c>
      <c r="L164" s="1" t="s">
        <v>33</v>
      </c>
      <c r="M164" s="1" t="s">
        <v>34</v>
      </c>
      <c r="N164" s="8">
        <v>100</v>
      </c>
      <c r="O164" s="8">
        <v>100</v>
      </c>
      <c r="P164" s="3" t="s">
        <v>59</v>
      </c>
      <c r="Q164" s="3" t="s">
        <v>59</v>
      </c>
      <c r="R164" s="8">
        <v>100</v>
      </c>
      <c r="S164" s="3" t="s">
        <v>59</v>
      </c>
      <c r="T164" s="3"/>
      <c r="U164" s="3"/>
      <c r="V164" s="3"/>
      <c r="W164" s="3"/>
      <c r="X164" s="3"/>
      <c r="Y164" s="3"/>
      <c r="Z164">
        <f>VLOOKUP(A164,[1]Worksheet!$A$1:$A$510,1,0)</f>
        <v>327</v>
      </c>
      <c r="AA164">
        <f t="shared" si="2"/>
        <v>1</v>
      </c>
    </row>
    <row r="165" spans="1:27" hidden="1" x14ac:dyDescent="0.3">
      <c r="A165" s="1">
        <v>332</v>
      </c>
      <c r="B165" s="1" t="s">
        <v>475</v>
      </c>
      <c r="C165" s="1" t="s">
        <v>47</v>
      </c>
      <c r="D165" s="1" t="s">
        <v>39</v>
      </c>
      <c r="E165" s="1" t="s">
        <v>28</v>
      </c>
      <c r="F165" s="1" t="s">
        <v>29</v>
      </c>
      <c r="G165" s="1" t="s">
        <v>41</v>
      </c>
      <c r="H165" s="1" t="s">
        <v>31</v>
      </c>
      <c r="I165" s="1">
        <v>1.18</v>
      </c>
      <c r="J165" s="1" t="s">
        <v>476</v>
      </c>
      <c r="K165" s="1" t="s">
        <v>33</v>
      </c>
      <c r="L165" s="1" t="s">
        <v>33</v>
      </c>
      <c r="M165" s="1" t="s">
        <v>34</v>
      </c>
      <c r="N165" s="5">
        <v>0.93</v>
      </c>
      <c r="O165" s="5">
        <v>0.85</v>
      </c>
      <c r="P165" s="5">
        <v>0.82</v>
      </c>
      <c r="Q165" s="4">
        <v>1.48</v>
      </c>
      <c r="R165" s="5">
        <v>1.3</v>
      </c>
      <c r="S165" s="5">
        <v>1.57</v>
      </c>
      <c r="T165" s="3"/>
      <c r="U165" s="3"/>
      <c r="V165" s="3"/>
      <c r="W165" s="3"/>
      <c r="X165" s="3"/>
      <c r="Y165" s="3"/>
      <c r="Z165">
        <f>VLOOKUP(A165,[1]Worksheet!$A$1:$A$510,1,0)</f>
        <v>332</v>
      </c>
      <c r="AA165">
        <f t="shared" si="2"/>
        <v>1</v>
      </c>
    </row>
    <row r="166" spans="1:27" hidden="1" x14ac:dyDescent="0.3">
      <c r="A166" s="1">
        <v>337</v>
      </c>
      <c r="B166" s="1" t="s">
        <v>481</v>
      </c>
      <c r="C166" s="1" t="s">
        <v>47</v>
      </c>
      <c r="D166" s="1" t="s">
        <v>347</v>
      </c>
      <c r="E166" s="1" t="s">
        <v>44</v>
      </c>
      <c r="F166" s="1" t="s">
        <v>29</v>
      </c>
      <c r="G166" s="1" t="s">
        <v>30</v>
      </c>
      <c r="H166" s="1" t="s">
        <v>31</v>
      </c>
      <c r="I166" s="1" t="s">
        <v>117</v>
      </c>
      <c r="J166" s="1" t="s">
        <v>482</v>
      </c>
      <c r="K166" s="1" t="s">
        <v>33</v>
      </c>
      <c r="L166" s="1" t="s">
        <v>33</v>
      </c>
      <c r="M166" s="1" t="s">
        <v>34</v>
      </c>
      <c r="N166" s="3" t="s">
        <v>59</v>
      </c>
      <c r="O166" s="3" t="s">
        <v>59</v>
      </c>
      <c r="P166" s="3" t="s">
        <v>59</v>
      </c>
      <c r="Q166" s="8">
        <v>100</v>
      </c>
      <c r="R166" s="8">
        <v>100</v>
      </c>
      <c r="S166" s="3" t="s">
        <v>59</v>
      </c>
      <c r="T166" s="3"/>
      <c r="U166" s="3"/>
      <c r="V166" s="3"/>
      <c r="W166" s="3"/>
      <c r="X166" s="3"/>
      <c r="Y166" s="3"/>
      <c r="Z166">
        <f>VLOOKUP(A166,[1]Worksheet!$A$1:$A$510,1,0)</f>
        <v>337</v>
      </c>
      <c r="AA166">
        <f t="shared" si="2"/>
        <v>1</v>
      </c>
    </row>
    <row r="167" spans="1:27" hidden="1" x14ac:dyDescent="0.3">
      <c r="A167" s="1">
        <v>338</v>
      </c>
      <c r="B167" s="1" t="s">
        <v>483</v>
      </c>
      <c r="C167" s="1" t="s">
        <v>47</v>
      </c>
      <c r="D167" s="1" t="s">
        <v>347</v>
      </c>
      <c r="E167" s="1" t="s">
        <v>28</v>
      </c>
      <c r="F167" s="1" t="s">
        <v>29</v>
      </c>
      <c r="G167" s="1" t="s">
        <v>30</v>
      </c>
      <c r="H167" s="1" t="s">
        <v>31</v>
      </c>
      <c r="I167" s="1" t="s">
        <v>117</v>
      </c>
      <c r="J167" s="1" t="s">
        <v>484</v>
      </c>
      <c r="K167" s="1" t="s">
        <v>33</v>
      </c>
      <c r="L167" s="1" t="s">
        <v>33</v>
      </c>
      <c r="M167" s="1" t="s">
        <v>34</v>
      </c>
      <c r="N167" s="8">
        <v>100</v>
      </c>
      <c r="O167" s="8">
        <v>100</v>
      </c>
      <c r="P167" s="3" t="s">
        <v>59</v>
      </c>
      <c r="Q167" s="8">
        <v>100</v>
      </c>
      <c r="R167" s="3" t="s">
        <v>59</v>
      </c>
      <c r="S167" s="8">
        <v>100</v>
      </c>
      <c r="T167" s="3"/>
      <c r="U167" s="3"/>
      <c r="V167" s="3"/>
      <c r="W167" s="3"/>
      <c r="X167" s="3"/>
      <c r="Y167" s="3"/>
      <c r="Z167">
        <f>VLOOKUP(A167,[1]Worksheet!$A$1:$A$510,1,0)</f>
        <v>338</v>
      </c>
      <c r="AA167">
        <f t="shared" si="2"/>
        <v>1</v>
      </c>
    </row>
    <row r="168" spans="1:27" hidden="1" x14ac:dyDescent="0.3">
      <c r="A168" s="1">
        <v>341</v>
      </c>
      <c r="B168" s="1" t="s">
        <v>488</v>
      </c>
      <c r="C168" s="1" t="s">
        <v>47</v>
      </c>
      <c r="D168" s="1" t="s">
        <v>27</v>
      </c>
      <c r="E168" s="1" t="s">
        <v>40</v>
      </c>
      <c r="F168" s="1" t="s">
        <v>29</v>
      </c>
      <c r="G168" s="1" t="s">
        <v>30</v>
      </c>
      <c r="H168" s="1" t="s">
        <v>31</v>
      </c>
      <c r="I168" s="1">
        <v>100</v>
      </c>
      <c r="J168" s="1" t="s">
        <v>489</v>
      </c>
      <c r="K168" s="1" t="s">
        <v>33</v>
      </c>
      <c r="L168" s="1" t="s">
        <v>33</v>
      </c>
      <c r="M168" s="1" t="s">
        <v>34</v>
      </c>
      <c r="N168" s="5">
        <v>102.65</v>
      </c>
      <c r="O168" s="5">
        <v>102.25</v>
      </c>
      <c r="P168" s="5">
        <v>102.44</v>
      </c>
      <c r="Q168" s="5">
        <v>125</v>
      </c>
      <c r="R168" s="5">
        <v>130.57</v>
      </c>
      <c r="S168" s="5">
        <v>123.86966666667</v>
      </c>
      <c r="T168" s="3"/>
      <c r="U168" s="3"/>
      <c r="V168" s="3"/>
      <c r="W168" s="3"/>
      <c r="X168" s="3"/>
      <c r="Y168" s="3"/>
      <c r="Z168">
        <f>VLOOKUP(A168,[1]Worksheet!$A$1:$A$510,1,0)</f>
        <v>341</v>
      </c>
      <c r="AA168">
        <f t="shared" si="2"/>
        <v>1</v>
      </c>
    </row>
    <row r="169" spans="1:27" hidden="1" x14ac:dyDescent="0.3">
      <c r="A169" s="1">
        <v>344</v>
      </c>
      <c r="B169" s="1" t="s">
        <v>490</v>
      </c>
      <c r="C169" s="1" t="s">
        <v>47</v>
      </c>
      <c r="D169" s="1" t="s">
        <v>39</v>
      </c>
      <c r="E169" s="1" t="s">
        <v>28</v>
      </c>
      <c r="F169" s="1" t="s">
        <v>29</v>
      </c>
      <c r="G169" s="1" t="s">
        <v>30</v>
      </c>
      <c r="H169" s="1" t="s">
        <v>31</v>
      </c>
      <c r="I169" s="1">
        <v>93</v>
      </c>
      <c r="J169" s="1" t="s">
        <v>491</v>
      </c>
      <c r="K169" s="1" t="s">
        <v>33</v>
      </c>
      <c r="L169" s="1" t="s">
        <v>33</v>
      </c>
      <c r="M169" s="1" t="s">
        <v>34</v>
      </c>
      <c r="N169" s="5">
        <v>100</v>
      </c>
      <c r="O169" s="5">
        <v>99.43</v>
      </c>
      <c r="P169" s="5">
        <v>99.19</v>
      </c>
      <c r="Q169" s="4">
        <v>97.34</v>
      </c>
      <c r="R169" s="4">
        <v>97.76</v>
      </c>
      <c r="S169" s="4">
        <v>97.744360902256005</v>
      </c>
      <c r="T169" s="3"/>
      <c r="U169" s="3"/>
      <c r="V169" s="3"/>
      <c r="W169" s="3"/>
      <c r="X169" s="3"/>
      <c r="Y169" s="3"/>
      <c r="Z169">
        <f>VLOOKUP(A169,[1]Worksheet!$A$1:$A$510,1,0)</f>
        <v>344</v>
      </c>
      <c r="AA169">
        <f t="shared" si="2"/>
        <v>1</v>
      </c>
    </row>
    <row r="170" spans="1:27" hidden="1" x14ac:dyDescent="0.3">
      <c r="A170" s="1">
        <v>356</v>
      </c>
      <c r="B170" s="1" t="s">
        <v>506</v>
      </c>
      <c r="C170" s="1" t="s">
        <v>47</v>
      </c>
      <c r="D170" s="1" t="s">
        <v>504</v>
      </c>
      <c r="E170" s="1" t="s">
        <v>40</v>
      </c>
      <c r="F170" s="1" t="s">
        <v>29</v>
      </c>
      <c r="G170" s="1" t="s">
        <v>41</v>
      </c>
      <c r="H170" s="1" t="s">
        <v>31</v>
      </c>
      <c r="I170" s="1">
        <v>60</v>
      </c>
      <c r="J170" s="1" t="s">
        <v>507</v>
      </c>
      <c r="K170" s="1" t="s">
        <v>33</v>
      </c>
      <c r="L170" s="1" t="s">
        <v>33</v>
      </c>
      <c r="M170" s="1" t="s">
        <v>34</v>
      </c>
      <c r="N170" s="6">
        <v>64.77</v>
      </c>
      <c r="O170" s="5">
        <v>49.14</v>
      </c>
      <c r="P170" s="6">
        <v>65.55</v>
      </c>
      <c r="Q170" s="5">
        <v>54.08</v>
      </c>
      <c r="R170" s="6">
        <v>61.54</v>
      </c>
      <c r="S170" s="5">
        <v>49.213961407602</v>
      </c>
      <c r="T170" s="3"/>
      <c r="U170" s="3"/>
      <c r="V170" s="3"/>
      <c r="W170" s="3"/>
      <c r="X170" s="3"/>
      <c r="Y170" s="3"/>
      <c r="Z170">
        <f>VLOOKUP(A170,[1]Worksheet!$A$1:$A$510,1,0)</f>
        <v>356</v>
      </c>
      <c r="AA170">
        <f t="shared" si="2"/>
        <v>1</v>
      </c>
    </row>
    <row r="171" spans="1:27" hidden="1" x14ac:dyDescent="0.3">
      <c r="A171" s="1">
        <v>357</v>
      </c>
      <c r="B171" s="1" t="s">
        <v>508</v>
      </c>
      <c r="C171" s="1" t="s">
        <v>47</v>
      </c>
      <c r="D171" s="1" t="s">
        <v>504</v>
      </c>
      <c r="E171" s="1" t="s">
        <v>28</v>
      </c>
      <c r="F171" s="1" t="s">
        <v>29</v>
      </c>
      <c r="G171" s="1" t="s">
        <v>30</v>
      </c>
      <c r="H171" s="1" t="s">
        <v>31</v>
      </c>
      <c r="I171" s="1"/>
      <c r="J171" s="1" t="s">
        <v>509</v>
      </c>
      <c r="K171" s="1" t="s">
        <v>33</v>
      </c>
      <c r="L171" s="1" t="s">
        <v>33</v>
      </c>
      <c r="M171" s="1" t="s">
        <v>34</v>
      </c>
      <c r="N171" s="3"/>
      <c r="O171" s="9">
        <v>0.85</v>
      </c>
      <c r="P171" s="9">
        <v>0.51</v>
      </c>
      <c r="Q171" s="9">
        <v>3.87</v>
      </c>
      <c r="R171" s="9">
        <v>4.45</v>
      </c>
      <c r="S171" s="9">
        <v>3.0055354363175999</v>
      </c>
      <c r="T171" s="3"/>
      <c r="U171" s="3"/>
      <c r="V171" s="3"/>
      <c r="W171" s="3"/>
      <c r="X171" s="3"/>
      <c r="Y171" s="3"/>
      <c r="Z171">
        <f>VLOOKUP(A171,[1]Worksheet!$A$1:$A$510,1,0)</f>
        <v>357</v>
      </c>
      <c r="AA171">
        <f t="shared" si="2"/>
        <v>1</v>
      </c>
    </row>
    <row r="172" spans="1:27" hidden="1" x14ac:dyDescent="0.3">
      <c r="A172" s="1">
        <v>358</v>
      </c>
      <c r="B172" s="1" t="s">
        <v>510</v>
      </c>
      <c r="C172" s="1" t="s">
        <v>26</v>
      </c>
      <c r="D172" s="1" t="s">
        <v>511</v>
      </c>
      <c r="E172" s="1" t="s">
        <v>28</v>
      </c>
      <c r="F172" s="1" t="s">
        <v>29</v>
      </c>
      <c r="G172" s="1" t="s">
        <v>30</v>
      </c>
      <c r="H172" s="1" t="s">
        <v>31</v>
      </c>
      <c r="I172" s="1">
        <v>100</v>
      </c>
      <c r="J172" s="1" t="s">
        <v>512</v>
      </c>
      <c r="K172" s="1" t="s">
        <v>33</v>
      </c>
      <c r="L172" s="1" t="s">
        <v>33</v>
      </c>
      <c r="M172" s="1" t="s">
        <v>34</v>
      </c>
      <c r="N172" s="4">
        <v>100</v>
      </c>
      <c r="O172" s="4">
        <v>100</v>
      </c>
      <c r="P172" s="5">
        <v>100</v>
      </c>
      <c r="Q172" s="5">
        <v>97.99</v>
      </c>
      <c r="R172" s="5">
        <v>95</v>
      </c>
      <c r="S172" s="6">
        <v>86.984536082473994</v>
      </c>
      <c r="T172" s="3"/>
      <c r="U172" s="3"/>
      <c r="V172" s="3"/>
      <c r="W172" s="3"/>
      <c r="X172" s="3"/>
      <c r="Y172" s="3"/>
      <c r="Z172">
        <f>VLOOKUP(A172,[1]Worksheet!$A$1:$A$510,1,0)</f>
        <v>358</v>
      </c>
      <c r="AA172">
        <f t="shared" si="2"/>
        <v>1</v>
      </c>
    </row>
    <row r="173" spans="1:27" hidden="1" x14ac:dyDescent="0.3">
      <c r="A173" s="1">
        <v>359</v>
      </c>
      <c r="B173" s="1" t="s">
        <v>513</v>
      </c>
      <c r="C173" s="1" t="s">
        <v>47</v>
      </c>
      <c r="D173" s="1" t="s">
        <v>360</v>
      </c>
      <c r="E173" s="1" t="s">
        <v>44</v>
      </c>
      <c r="F173" s="1" t="s">
        <v>29</v>
      </c>
      <c r="G173" s="1" t="s">
        <v>30</v>
      </c>
      <c r="H173" s="1" t="s">
        <v>31</v>
      </c>
      <c r="I173" s="1">
        <v>85</v>
      </c>
      <c r="J173" s="1" t="s">
        <v>514</v>
      </c>
      <c r="K173" s="1" t="s">
        <v>33</v>
      </c>
      <c r="L173" s="1" t="s">
        <v>33</v>
      </c>
      <c r="M173" s="1" t="s">
        <v>34</v>
      </c>
      <c r="N173" s="4">
        <v>89.9</v>
      </c>
      <c r="O173" s="5">
        <v>90</v>
      </c>
      <c r="P173" s="5">
        <v>86</v>
      </c>
      <c r="Q173" s="3" t="s">
        <v>59</v>
      </c>
      <c r="R173" s="3"/>
      <c r="S173" s="3"/>
      <c r="T173" s="3"/>
      <c r="U173" s="3"/>
      <c r="V173" s="3"/>
      <c r="W173" s="3"/>
      <c r="X173" s="3"/>
      <c r="Y173" s="3"/>
      <c r="Z173">
        <f>VLOOKUP(A173,[1]Worksheet!$A$1:$A$510,1,0)</f>
        <v>359</v>
      </c>
      <c r="AA173">
        <f t="shared" si="2"/>
        <v>1</v>
      </c>
    </row>
    <row r="174" spans="1:27" hidden="1" x14ac:dyDescent="0.3">
      <c r="A174" s="1">
        <v>362</v>
      </c>
      <c r="B174" s="1" t="s">
        <v>518</v>
      </c>
      <c r="C174" s="1" t="s">
        <v>26</v>
      </c>
      <c r="D174" s="1" t="s">
        <v>519</v>
      </c>
      <c r="E174" s="1" t="s">
        <v>28</v>
      </c>
      <c r="F174" s="1" t="s">
        <v>29</v>
      </c>
      <c r="G174" s="1" t="s">
        <v>30</v>
      </c>
      <c r="H174" s="1" t="s">
        <v>153</v>
      </c>
      <c r="I174" s="1">
        <v>98</v>
      </c>
      <c r="J174" s="1" t="s">
        <v>520</v>
      </c>
      <c r="K174" s="1" t="s">
        <v>155</v>
      </c>
      <c r="L174" s="1" t="s">
        <v>34</v>
      </c>
      <c r="M174" s="1" t="s">
        <v>34</v>
      </c>
      <c r="N174" s="4">
        <v>99.7</v>
      </c>
      <c r="O174" s="4">
        <v>99.63</v>
      </c>
      <c r="P174" s="4">
        <v>99.49</v>
      </c>
      <c r="Q174" s="4">
        <v>99.584323040380056</v>
      </c>
      <c r="R174" s="6">
        <v>99.156641448591998</v>
      </c>
      <c r="S174" s="3" t="s">
        <v>59</v>
      </c>
      <c r="T174" s="3" t="s">
        <v>59</v>
      </c>
      <c r="U174" s="3" t="s">
        <v>59</v>
      </c>
      <c r="V174" s="3" t="s">
        <v>59</v>
      </c>
      <c r="W174" s="3" t="s">
        <v>59</v>
      </c>
      <c r="X174" s="3" t="s">
        <v>59</v>
      </c>
      <c r="Y174" s="3" t="s">
        <v>59</v>
      </c>
      <c r="Z174">
        <f>VLOOKUP(A174,[1]Worksheet!$A$1:$A$510,1,0)</f>
        <v>362</v>
      </c>
      <c r="AA174">
        <f t="shared" si="2"/>
        <v>1</v>
      </c>
    </row>
    <row r="175" spans="1:27" hidden="1" x14ac:dyDescent="0.3">
      <c r="A175" s="1">
        <v>363</v>
      </c>
      <c r="B175" s="1" t="s">
        <v>521</v>
      </c>
      <c r="C175" s="1" t="s">
        <v>26</v>
      </c>
      <c r="D175" s="1" t="s">
        <v>519</v>
      </c>
      <c r="E175" s="1" t="s">
        <v>28</v>
      </c>
      <c r="F175" s="1" t="s">
        <v>29</v>
      </c>
      <c r="G175" s="1" t="s">
        <v>30</v>
      </c>
      <c r="H175" s="1" t="s">
        <v>31</v>
      </c>
      <c r="I175" s="1">
        <v>100</v>
      </c>
      <c r="J175" s="1" t="s">
        <v>522</v>
      </c>
      <c r="K175" s="1" t="s">
        <v>33</v>
      </c>
      <c r="L175" s="1" t="s">
        <v>33</v>
      </c>
      <c r="M175" s="1" t="s">
        <v>34</v>
      </c>
      <c r="N175" s="4">
        <v>100</v>
      </c>
      <c r="O175" s="4">
        <v>100</v>
      </c>
      <c r="P175" s="4">
        <v>100</v>
      </c>
      <c r="Q175" s="4">
        <v>100</v>
      </c>
      <c r="R175" s="4">
        <v>100</v>
      </c>
      <c r="S175" s="3"/>
      <c r="T175" s="3"/>
      <c r="U175" s="3"/>
      <c r="V175" s="3"/>
      <c r="W175" s="3"/>
      <c r="X175" s="3"/>
      <c r="Y175" s="3"/>
      <c r="Z175">
        <f>VLOOKUP(A175,[1]Worksheet!$A$1:$A$510,1,0)</f>
        <v>363</v>
      </c>
      <c r="AA175">
        <f t="shared" si="2"/>
        <v>1</v>
      </c>
    </row>
    <row r="176" spans="1:27" hidden="1" x14ac:dyDescent="0.3">
      <c r="A176" s="1">
        <v>364</v>
      </c>
      <c r="B176" s="1" t="s">
        <v>523</v>
      </c>
      <c r="C176" s="1" t="s">
        <v>26</v>
      </c>
      <c r="D176" s="1" t="s">
        <v>516</v>
      </c>
      <c r="E176" s="1" t="s">
        <v>28</v>
      </c>
      <c r="F176" s="1" t="s">
        <v>29</v>
      </c>
      <c r="G176" s="1" t="s">
        <v>30</v>
      </c>
      <c r="H176" s="1" t="s">
        <v>31</v>
      </c>
      <c r="I176" s="1">
        <v>100</v>
      </c>
      <c r="J176" s="1" t="s">
        <v>524</v>
      </c>
      <c r="K176" s="1" t="s">
        <v>33</v>
      </c>
      <c r="L176" s="1" t="s">
        <v>33</v>
      </c>
      <c r="M176" s="1" t="s">
        <v>34</v>
      </c>
      <c r="N176" s="7">
        <v>78.11</v>
      </c>
      <c r="O176" s="6">
        <v>93.89</v>
      </c>
      <c r="P176" s="6">
        <v>98.09</v>
      </c>
      <c r="Q176" s="5">
        <v>132.72999999999999</v>
      </c>
      <c r="R176" s="9">
        <v>78450</v>
      </c>
      <c r="S176" s="9">
        <v>30244</v>
      </c>
      <c r="T176" s="3"/>
      <c r="U176" s="3"/>
      <c r="V176" s="3"/>
      <c r="W176" s="3"/>
      <c r="X176" s="3"/>
      <c r="Y176" s="3"/>
      <c r="Z176">
        <f>VLOOKUP(A176,[1]Worksheet!$A$1:$A$510,1,0)</f>
        <v>364</v>
      </c>
      <c r="AA176">
        <f t="shared" si="2"/>
        <v>1</v>
      </c>
    </row>
    <row r="177" spans="1:27" hidden="1" x14ac:dyDescent="0.3">
      <c r="A177" s="1">
        <v>369</v>
      </c>
      <c r="B177" s="1" t="s">
        <v>532</v>
      </c>
      <c r="C177" s="1" t="s">
        <v>47</v>
      </c>
      <c r="D177" s="1" t="s">
        <v>516</v>
      </c>
      <c r="E177" s="1" t="s">
        <v>28</v>
      </c>
      <c r="F177" s="1" t="s">
        <v>29</v>
      </c>
      <c r="G177" s="1" t="s">
        <v>30</v>
      </c>
      <c r="H177" s="1" t="s">
        <v>153</v>
      </c>
      <c r="I177" s="1">
        <v>100</v>
      </c>
      <c r="J177" s="1" t="s">
        <v>533</v>
      </c>
      <c r="K177" s="1" t="s">
        <v>155</v>
      </c>
      <c r="L177" s="1" t="s">
        <v>34</v>
      </c>
      <c r="M177" s="1" t="s">
        <v>34</v>
      </c>
      <c r="N177" s="5">
        <v>108.26</v>
      </c>
      <c r="O177" s="6">
        <v>88.89</v>
      </c>
      <c r="P177" s="7">
        <v>71.3</v>
      </c>
      <c r="Q177" s="7">
        <v>76.25</v>
      </c>
      <c r="R177" s="3" t="s">
        <v>59</v>
      </c>
      <c r="S177" s="3" t="s">
        <v>59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>
        <f>VLOOKUP(A177,[1]Worksheet!$A$1:$A$510,1,0)</f>
        <v>369</v>
      </c>
      <c r="AA177">
        <f t="shared" si="2"/>
        <v>1</v>
      </c>
    </row>
    <row r="178" spans="1:27" hidden="1" x14ac:dyDescent="0.3">
      <c r="A178" s="1">
        <v>371</v>
      </c>
      <c r="B178" s="1" t="s">
        <v>536</v>
      </c>
      <c r="C178" s="1" t="s">
        <v>47</v>
      </c>
      <c r="D178" s="1" t="s">
        <v>516</v>
      </c>
      <c r="E178" s="1" t="s">
        <v>28</v>
      </c>
      <c r="F178" s="1" t="s">
        <v>29</v>
      </c>
      <c r="G178" s="1" t="s">
        <v>30</v>
      </c>
      <c r="H178" s="1" t="s">
        <v>31</v>
      </c>
      <c r="I178" s="1">
        <v>100</v>
      </c>
      <c r="J178" s="1" t="s">
        <v>537</v>
      </c>
      <c r="K178" s="1" t="s">
        <v>33</v>
      </c>
      <c r="L178" s="1" t="s">
        <v>33</v>
      </c>
      <c r="M178" s="1" t="s">
        <v>34</v>
      </c>
      <c r="N178" s="6">
        <v>83.42</v>
      </c>
      <c r="O178" s="7">
        <v>73.69</v>
      </c>
      <c r="P178" s="6">
        <v>96.99</v>
      </c>
      <c r="Q178" s="5">
        <v>149.72</v>
      </c>
      <c r="R178" s="5">
        <v>173.07</v>
      </c>
      <c r="S178" s="5">
        <v>157.50274243635999</v>
      </c>
      <c r="T178" s="3"/>
      <c r="U178" s="3"/>
      <c r="V178" s="3"/>
      <c r="W178" s="3"/>
      <c r="X178" s="3"/>
      <c r="Y178" s="3"/>
      <c r="Z178">
        <f>VLOOKUP(A178,[1]Worksheet!$A$1:$A$510,1,0)</f>
        <v>371</v>
      </c>
      <c r="AA178">
        <f t="shared" si="2"/>
        <v>1</v>
      </c>
    </row>
    <row r="179" spans="1:27" hidden="1" x14ac:dyDescent="0.3">
      <c r="A179" s="1">
        <v>375</v>
      </c>
      <c r="B179" s="1" t="s">
        <v>542</v>
      </c>
      <c r="C179" s="1" t="s">
        <v>26</v>
      </c>
      <c r="D179" s="1" t="s">
        <v>519</v>
      </c>
      <c r="E179" s="1" t="s">
        <v>28</v>
      </c>
      <c r="F179" s="1" t="s">
        <v>29</v>
      </c>
      <c r="G179" s="1" t="s">
        <v>30</v>
      </c>
      <c r="H179" s="1" t="s">
        <v>153</v>
      </c>
      <c r="I179" s="1">
        <v>100</v>
      </c>
      <c r="J179" s="1" t="s">
        <v>543</v>
      </c>
      <c r="K179" s="1" t="s">
        <v>186</v>
      </c>
      <c r="L179" s="1" t="s">
        <v>34</v>
      </c>
      <c r="M179" s="1" t="s">
        <v>34</v>
      </c>
      <c r="N179" s="4">
        <v>100</v>
      </c>
      <c r="O179" s="4">
        <v>100</v>
      </c>
      <c r="P179" s="4">
        <v>100</v>
      </c>
      <c r="Q179" s="4">
        <v>100</v>
      </c>
      <c r="R179" s="4">
        <v>100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>
        <f>VLOOKUP(A179,[1]Worksheet!$A$1:$A$510,1,0)</f>
        <v>375</v>
      </c>
      <c r="AA179">
        <f t="shared" si="2"/>
        <v>1</v>
      </c>
    </row>
    <row r="180" spans="1:27" hidden="1" x14ac:dyDescent="0.3">
      <c r="A180" s="1">
        <v>376</v>
      </c>
      <c r="B180" s="1" t="s">
        <v>544</v>
      </c>
      <c r="C180" s="1" t="s">
        <v>47</v>
      </c>
      <c r="D180" s="1" t="s">
        <v>152</v>
      </c>
      <c r="E180" s="1" t="s">
        <v>40</v>
      </c>
      <c r="F180" s="1" t="s">
        <v>29</v>
      </c>
      <c r="G180" s="1" t="s">
        <v>30</v>
      </c>
      <c r="H180" s="1" t="s">
        <v>31</v>
      </c>
      <c r="I180" s="1">
        <v>95</v>
      </c>
      <c r="J180" s="1" t="s">
        <v>545</v>
      </c>
      <c r="K180" s="1" t="s">
        <v>33</v>
      </c>
      <c r="L180" s="1" t="s">
        <v>33</v>
      </c>
      <c r="M180" s="1" t="s">
        <v>34</v>
      </c>
      <c r="N180" s="5">
        <v>117.51</v>
      </c>
      <c r="O180" s="5">
        <v>117.87</v>
      </c>
      <c r="P180" s="5">
        <v>109.1</v>
      </c>
      <c r="Q180" s="5">
        <v>104</v>
      </c>
      <c r="R180" s="5">
        <v>101.26</v>
      </c>
      <c r="S180" s="5">
        <v>149.72237633949999</v>
      </c>
      <c r="T180" s="3"/>
      <c r="U180" s="3"/>
      <c r="V180" s="3"/>
      <c r="W180" s="3"/>
      <c r="X180" s="3"/>
      <c r="Y180" s="3"/>
      <c r="Z180">
        <f>VLOOKUP(A180,[1]Worksheet!$A$1:$A$510,1,0)</f>
        <v>376</v>
      </c>
      <c r="AA180">
        <f t="shared" si="2"/>
        <v>1</v>
      </c>
    </row>
    <row r="181" spans="1:27" hidden="1" x14ac:dyDescent="0.3">
      <c r="A181" s="1">
        <v>379</v>
      </c>
      <c r="B181" s="1" t="s">
        <v>548</v>
      </c>
      <c r="C181" s="1" t="s">
        <v>47</v>
      </c>
      <c r="D181" s="1" t="s">
        <v>549</v>
      </c>
      <c r="E181" s="1" t="s">
        <v>28</v>
      </c>
      <c r="F181" s="1" t="s">
        <v>29</v>
      </c>
      <c r="G181" s="1" t="s">
        <v>30</v>
      </c>
      <c r="H181" s="1" t="s">
        <v>31</v>
      </c>
      <c r="I181" s="1">
        <v>100</v>
      </c>
      <c r="J181" s="1" t="s">
        <v>550</v>
      </c>
      <c r="K181" s="1" t="s">
        <v>33</v>
      </c>
      <c r="L181" s="1" t="s">
        <v>33</v>
      </c>
      <c r="M181" s="1" t="s">
        <v>34</v>
      </c>
      <c r="N181" s="5">
        <v>102.41</v>
      </c>
      <c r="O181" s="5">
        <v>104.11</v>
      </c>
      <c r="P181" s="6">
        <v>99.31</v>
      </c>
      <c r="Q181" s="6">
        <v>95.92</v>
      </c>
      <c r="R181" s="5">
        <v>108.65</v>
      </c>
      <c r="S181" s="5">
        <v>102.72877164056</v>
      </c>
      <c r="T181" s="3"/>
      <c r="U181" s="3"/>
      <c r="V181" s="3"/>
      <c r="W181" s="3"/>
      <c r="X181" s="3"/>
      <c r="Y181" s="3"/>
      <c r="Z181">
        <f>VLOOKUP(A181,[1]Worksheet!$A$1:$A$510,1,0)</f>
        <v>379</v>
      </c>
      <c r="AA181">
        <f t="shared" si="2"/>
        <v>1</v>
      </c>
    </row>
    <row r="182" spans="1:27" hidden="1" x14ac:dyDescent="0.3">
      <c r="A182" s="1">
        <v>381</v>
      </c>
      <c r="B182" s="1" t="s">
        <v>551</v>
      </c>
      <c r="C182" s="1" t="s">
        <v>47</v>
      </c>
      <c r="D182" s="1" t="s">
        <v>549</v>
      </c>
      <c r="E182" s="1" t="s">
        <v>28</v>
      </c>
      <c r="F182" s="1" t="s">
        <v>29</v>
      </c>
      <c r="G182" s="1" t="s">
        <v>30</v>
      </c>
      <c r="H182" s="1" t="s">
        <v>31</v>
      </c>
      <c r="I182" s="1">
        <v>100</v>
      </c>
      <c r="J182" s="1" t="s">
        <v>552</v>
      </c>
      <c r="K182" s="1" t="s">
        <v>33</v>
      </c>
      <c r="L182" s="1" t="s">
        <v>33</v>
      </c>
      <c r="M182" s="1" t="s">
        <v>34</v>
      </c>
      <c r="N182" s="5">
        <v>113.66</v>
      </c>
      <c r="O182" s="6">
        <v>98.22</v>
      </c>
      <c r="P182" s="6">
        <v>89.19</v>
      </c>
      <c r="Q182" s="5">
        <v>105.26</v>
      </c>
      <c r="R182" s="5">
        <v>113.7</v>
      </c>
      <c r="S182" s="5">
        <v>104.27170868347</v>
      </c>
      <c r="T182" s="3"/>
      <c r="U182" s="3"/>
      <c r="V182" s="3"/>
      <c r="W182" s="3"/>
      <c r="X182" s="3"/>
      <c r="Y182" s="3"/>
      <c r="Z182">
        <f>VLOOKUP(A182,[1]Worksheet!$A$1:$A$510,1,0)</f>
        <v>381</v>
      </c>
      <c r="AA182">
        <f t="shared" si="2"/>
        <v>1</v>
      </c>
    </row>
    <row r="183" spans="1:27" hidden="1" x14ac:dyDescent="0.3">
      <c r="A183" s="1">
        <v>382</v>
      </c>
      <c r="B183" s="1" t="s">
        <v>553</v>
      </c>
      <c r="C183" s="1" t="s">
        <v>47</v>
      </c>
      <c r="D183" s="1" t="s">
        <v>549</v>
      </c>
      <c r="E183" s="1" t="s">
        <v>28</v>
      </c>
      <c r="F183" s="1" t="s">
        <v>29</v>
      </c>
      <c r="G183" s="1" t="s">
        <v>30</v>
      </c>
      <c r="H183" s="1" t="s">
        <v>31</v>
      </c>
      <c r="I183" s="1">
        <v>100</v>
      </c>
      <c r="J183" s="1" t="s">
        <v>554</v>
      </c>
      <c r="K183" s="1" t="s">
        <v>33</v>
      </c>
      <c r="L183" s="1" t="s">
        <v>33</v>
      </c>
      <c r="M183" s="1" t="s">
        <v>34</v>
      </c>
      <c r="N183" s="6">
        <v>97.21</v>
      </c>
      <c r="O183" s="6">
        <v>99.85</v>
      </c>
      <c r="P183" s="6">
        <v>98.13</v>
      </c>
      <c r="Q183" s="6">
        <v>93.7</v>
      </c>
      <c r="R183" s="5">
        <v>103.01</v>
      </c>
      <c r="S183" s="5">
        <v>101.25041131950999</v>
      </c>
      <c r="T183" s="3"/>
      <c r="U183" s="3"/>
      <c r="V183" s="3"/>
      <c r="W183" s="3"/>
      <c r="X183" s="3"/>
      <c r="Y183" s="3"/>
      <c r="Z183">
        <f>VLOOKUP(A183,[1]Worksheet!$A$1:$A$510,1,0)</f>
        <v>382</v>
      </c>
      <c r="AA183">
        <f t="shared" si="2"/>
        <v>1</v>
      </c>
    </row>
    <row r="184" spans="1:27" hidden="1" x14ac:dyDescent="0.3">
      <c r="A184" s="1">
        <v>383</v>
      </c>
      <c r="B184" s="1" t="s">
        <v>555</v>
      </c>
      <c r="C184" s="1" t="s">
        <v>26</v>
      </c>
      <c r="D184" s="1" t="s">
        <v>549</v>
      </c>
      <c r="E184" s="1" t="s">
        <v>28</v>
      </c>
      <c r="F184" s="1" t="s">
        <v>29</v>
      </c>
      <c r="G184" s="1" t="s">
        <v>30</v>
      </c>
      <c r="H184" s="1" t="s">
        <v>31</v>
      </c>
      <c r="I184" s="1">
        <v>100</v>
      </c>
      <c r="J184" s="1" t="s">
        <v>556</v>
      </c>
      <c r="K184" s="1" t="s">
        <v>33</v>
      </c>
      <c r="L184" s="1" t="s">
        <v>33</v>
      </c>
      <c r="M184" s="1" t="s">
        <v>34</v>
      </c>
      <c r="N184" s="5">
        <v>127.87</v>
      </c>
      <c r="O184" s="5">
        <v>136.96</v>
      </c>
      <c r="P184" s="5">
        <v>120.71</v>
      </c>
      <c r="Q184" s="4">
        <v>100.2</v>
      </c>
      <c r="R184" s="5">
        <v>148.66</v>
      </c>
      <c r="S184" s="5">
        <v>109.38232994527</v>
      </c>
      <c r="T184" s="3"/>
      <c r="U184" s="3"/>
      <c r="V184" s="3"/>
      <c r="W184" s="3"/>
      <c r="X184" s="3"/>
      <c r="Y184" s="3"/>
      <c r="Z184">
        <f>VLOOKUP(A184,[1]Worksheet!$A$1:$A$510,1,0)</f>
        <v>383</v>
      </c>
      <c r="AA184">
        <f t="shared" si="2"/>
        <v>1</v>
      </c>
    </row>
    <row r="185" spans="1:27" hidden="1" x14ac:dyDescent="0.3">
      <c r="A185" s="1">
        <v>384</v>
      </c>
      <c r="B185" s="1" t="s">
        <v>557</v>
      </c>
      <c r="C185" s="1" t="s">
        <v>26</v>
      </c>
      <c r="D185" s="1" t="s">
        <v>549</v>
      </c>
      <c r="E185" s="1" t="s">
        <v>28</v>
      </c>
      <c r="F185" s="1" t="s">
        <v>29</v>
      </c>
      <c r="G185" s="1" t="s">
        <v>30</v>
      </c>
      <c r="H185" s="1" t="s">
        <v>31</v>
      </c>
      <c r="I185" s="1">
        <v>100</v>
      </c>
      <c r="J185" s="1" t="s">
        <v>558</v>
      </c>
      <c r="K185" s="1" t="s">
        <v>33</v>
      </c>
      <c r="L185" s="1" t="s">
        <v>33</v>
      </c>
      <c r="M185" s="1" t="s">
        <v>34</v>
      </c>
      <c r="N185" s="4">
        <v>100.93</v>
      </c>
      <c r="O185" s="5">
        <v>103.23</v>
      </c>
      <c r="P185" s="6">
        <v>87.9</v>
      </c>
      <c r="Q185" s="5">
        <v>102.2</v>
      </c>
      <c r="R185" s="5">
        <v>115.38</v>
      </c>
      <c r="S185" s="5">
        <v>111.76470588235</v>
      </c>
      <c r="T185" s="3"/>
      <c r="U185" s="3"/>
      <c r="V185" s="3"/>
      <c r="W185" s="3"/>
      <c r="X185" s="3"/>
      <c r="Y185" s="3"/>
      <c r="Z185">
        <f>VLOOKUP(A185,[1]Worksheet!$A$1:$A$510,1,0)</f>
        <v>384</v>
      </c>
      <c r="AA185">
        <f t="shared" si="2"/>
        <v>1</v>
      </c>
    </row>
    <row r="186" spans="1:27" hidden="1" x14ac:dyDescent="0.3">
      <c r="A186" s="1">
        <v>385</v>
      </c>
      <c r="B186" s="1" t="s">
        <v>559</v>
      </c>
      <c r="C186" s="1" t="s">
        <v>47</v>
      </c>
      <c r="D186" s="1" t="s">
        <v>560</v>
      </c>
      <c r="E186" s="1" t="s">
        <v>28</v>
      </c>
      <c r="F186" s="1" t="s">
        <v>29</v>
      </c>
      <c r="G186" s="1" t="s">
        <v>30</v>
      </c>
      <c r="H186" s="1" t="s">
        <v>31</v>
      </c>
      <c r="I186" s="1">
        <v>100</v>
      </c>
      <c r="J186" s="1" t="s">
        <v>561</v>
      </c>
      <c r="K186" s="1" t="s">
        <v>33</v>
      </c>
      <c r="L186" s="1" t="s">
        <v>33</v>
      </c>
      <c r="M186" s="1" t="s">
        <v>34</v>
      </c>
      <c r="N186" s="5">
        <v>108.89</v>
      </c>
      <c r="O186" s="5">
        <v>118.92</v>
      </c>
      <c r="P186" s="6">
        <v>88.56</v>
      </c>
      <c r="Q186" s="5">
        <v>113.63</v>
      </c>
      <c r="R186" s="5">
        <v>124.93</v>
      </c>
      <c r="S186" s="5">
        <v>102.98486566654</v>
      </c>
      <c r="T186" s="3"/>
      <c r="U186" s="3"/>
      <c r="V186" s="3"/>
      <c r="W186" s="3"/>
      <c r="X186" s="3"/>
      <c r="Y186" s="3"/>
      <c r="Z186">
        <f>VLOOKUP(A186,[1]Worksheet!$A$1:$A$510,1,0)</f>
        <v>385</v>
      </c>
      <c r="AA186">
        <f t="shared" si="2"/>
        <v>1</v>
      </c>
    </row>
    <row r="187" spans="1:27" hidden="1" x14ac:dyDescent="0.3">
      <c r="A187" s="1">
        <v>386</v>
      </c>
      <c r="B187" s="1" t="s">
        <v>562</v>
      </c>
      <c r="C187" s="1" t="s">
        <v>47</v>
      </c>
      <c r="D187" s="1" t="s">
        <v>560</v>
      </c>
      <c r="E187" s="1" t="s">
        <v>40</v>
      </c>
      <c r="F187" s="1" t="s">
        <v>29</v>
      </c>
      <c r="G187" s="1" t="s">
        <v>30</v>
      </c>
      <c r="H187" s="1" t="s">
        <v>153</v>
      </c>
      <c r="I187" s="1">
        <v>100</v>
      </c>
      <c r="J187" s="1" t="s">
        <v>563</v>
      </c>
      <c r="K187" s="1" t="s">
        <v>155</v>
      </c>
      <c r="L187" s="1" t="s">
        <v>34</v>
      </c>
      <c r="M187" s="1" t="s">
        <v>34</v>
      </c>
      <c r="N187" s="5">
        <v>106.54</v>
      </c>
      <c r="O187" s="5">
        <v>118.92</v>
      </c>
      <c r="P187" s="7">
        <v>75.010000000000005</v>
      </c>
      <c r="Q187" s="5">
        <v>113.63</v>
      </c>
      <c r="R187" s="5">
        <v>138.22</v>
      </c>
      <c r="S187" s="5">
        <v>102.98486566654</v>
      </c>
      <c r="T187" s="3" t="s">
        <v>59</v>
      </c>
      <c r="U187" s="3" t="s">
        <v>59</v>
      </c>
      <c r="V187" s="3" t="s">
        <v>59</v>
      </c>
      <c r="W187" s="3" t="s">
        <v>59</v>
      </c>
      <c r="X187" s="3" t="s">
        <v>59</v>
      </c>
      <c r="Y187" s="3" t="s">
        <v>59</v>
      </c>
      <c r="Z187">
        <f>VLOOKUP(A187,[1]Worksheet!$A$1:$A$510,1,0)</f>
        <v>386</v>
      </c>
      <c r="AA187">
        <f t="shared" si="2"/>
        <v>1</v>
      </c>
    </row>
    <row r="188" spans="1:27" hidden="1" x14ac:dyDescent="0.3">
      <c r="A188" s="1">
        <v>389</v>
      </c>
      <c r="B188" s="1" t="s">
        <v>570</v>
      </c>
      <c r="C188" s="1" t="s">
        <v>47</v>
      </c>
      <c r="D188" s="1" t="s">
        <v>571</v>
      </c>
      <c r="E188" s="1" t="s">
        <v>28</v>
      </c>
      <c r="F188" s="1" t="s">
        <v>29</v>
      </c>
      <c r="G188" s="1" t="s">
        <v>30</v>
      </c>
      <c r="H188" s="1" t="s">
        <v>153</v>
      </c>
      <c r="I188" s="1"/>
      <c r="J188" s="1" t="s">
        <v>572</v>
      </c>
      <c r="K188" s="1" t="s">
        <v>186</v>
      </c>
      <c r="L188" s="1" t="s">
        <v>34</v>
      </c>
      <c r="M188" s="1" t="s">
        <v>34</v>
      </c>
      <c r="N188" s="3"/>
      <c r="O188" s="3">
        <v>0</v>
      </c>
      <c r="P188" s="7">
        <v>0</v>
      </c>
      <c r="Q188" s="6">
        <v>84.433333333333323</v>
      </c>
      <c r="R188" s="7">
        <v>0</v>
      </c>
      <c r="S188" s="7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>
        <f>VLOOKUP(A188,[1]Worksheet!$A$1:$A$510,1,0)</f>
        <v>389</v>
      </c>
      <c r="AA188">
        <f t="shared" si="2"/>
        <v>1</v>
      </c>
    </row>
    <row r="189" spans="1:27" hidden="1" x14ac:dyDescent="0.3">
      <c r="A189" s="1">
        <v>397</v>
      </c>
      <c r="B189" s="1" t="s">
        <v>609</v>
      </c>
      <c r="C189" s="1" t="s">
        <v>26</v>
      </c>
      <c r="D189" s="1" t="s">
        <v>610</v>
      </c>
      <c r="E189" s="1" t="s">
        <v>28</v>
      </c>
      <c r="F189" s="1" t="s">
        <v>29</v>
      </c>
      <c r="G189" s="1" t="s">
        <v>30</v>
      </c>
      <c r="H189" s="1" t="s">
        <v>31</v>
      </c>
      <c r="I189" s="1">
        <v>90</v>
      </c>
      <c r="J189" s="1" t="s">
        <v>611</v>
      </c>
      <c r="K189" s="1" t="s">
        <v>33</v>
      </c>
      <c r="L189" s="1" t="s">
        <v>33</v>
      </c>
      <c r="M189" s="1" t="s">
        <v>34</v>
      </c>
      <c r="N189" s="5">
        <v>96.14</v>
      </c>
      <c r="O189" s="5">
        <v>95.26</v>
      </c>
      <c r="P189" s="5">
        <v>94.88</v>
      </c>
      <c r="Q189" s="5">
        <v>88.08</v>
      </c>
      <c r="R189" s="5">
        <v>92.96</v>
      </c>
      <c r="S189" s="5">
        <v>91.071428571428996</v>
      </c>
      <c r="T189" s="3"/>
      <c r="U189" s="3"/>
      <c r="V189" s="3"/>
      <c r="W189" s="3"/>
      <c r="X189" s="3"/>
      <c r="Y189" s="3"/>
      <c r="Z189">
        <f>VLOOKUP(A189,[1]Worksheet!$A$1:$A$510,1,0)</f>
        <v>397</v>
      </c>
      <c r="AA189">
        <f t="shared" si="2"/>
        <v>1</v>
      </c>
    </row>
    <row r="190" spans="1:27" hidden="1" x14ac:dyDescent="0.3">
      <c r="A190" s="1">
        <v>398</v>
      </c>
      <c r="B190" s="1" t="s">
        <v>612</v>
      </c>
      <c r="C190" s="1" t="s">
        <v>26</v>
      </c>
      <c r="D190" s="1" t="s">
        <v>613</v>
      </c>
      <c r="E190" s="1" t="s">
        <v>28</v>
      </c>
      <c r="F190" s="1" t="s">
        <v>29</v>
      </c>
      <c r="G190" s="1" t="s">
        <v>30</v>
      </c>
      <c r="H190" s="1" t="s">
        <v>31</v>
      </c>
      <c r="I190" s="1">
        <v>100</v>
      </c>
      <c r="J190" s="1" t="s">
        <v>614</v>
      </c>
      <c r="K190" s="1" t="s">
        <v>33</v>
      </c>
      <c r="L190" s="1" t="s">
        <v>33</v>
      </c>
      <c r="M190" s="1" t="s">
        <v>34</v>
      </c>
      <c r="N190" s="5">
        <v>168.71</v>
      </c>
      <c r="O190" s="5">
        <v>159.5</v>
      </c>
      <c r="P190" s="5">
        <v>160</v>
      </c>
      <c r="Q190" s="5">
        <v>283.92</v>
      </c>
      <c r="R190" s="5">
        <v>234.4</v>
      </c>
      <c r="S190" s="5">
        <v>256.8</v>
      </c>
      <c r="T190" s="3"/>
      <c r="U190" s="3"/>
      <c r="V190" s="3"/>
      <c r="W190" s="3"/>
      <c r="X190" s="3"/>
      <c r="Y190" s="3"/>
      <c r="Z190">
        <f>VLOOKUP(A190,[1]Worksheet!$A$1:$A$510,1,0)</f>
        <v>398</v>
      </c>
      <c r="AA190">
        <f t="shared" si="2"/>
        <v>1</v>
      </c>
    </row>
    <row r="191" spans="1:27" hidden="1" x14ac:dyDescent="0.3">
      <c r="A191" s="1">
        <v>399</v>
      </c>
      <c r="B191" s="1" t="s">
        <v>615</v>
      </c>
      <c r="C191" s="1" t="s">
        <v>26</v>
      </c>
      <c r="D191" s="1" t="s">
        <v>613</v>
      </c>
      <c r="E191" s="1" t="s">
        <v>28</v>
      </c>
      <c r="F191" s="1" t="s">
        <v>29</v>
      </c>
      <c r="G191" s="1" t="s">
        <v>30</v>
      </c>
      <c r="H191" s="1" t="s">
        <v>31</v>
      </c>
      <c r="I191" s="1">
        <v>100</v>
      </c>
      <c r="J191" s="1" t="s">
        <v>616</v>
      </c>
      <c r="K191" s="1" t="s">
        <v>33</v>
      </c>
      <c r="L191" s="1" t="s">
        <v>33</v>
      </c>
      <c r="M191" s="1" t="s">
        <v>34</v>
      </c>
      <c r="N191" s="5">
        <v>106.13</v>
      </c>
      <c r="O191" s="5">
        <v>102.93</v>
      </c>
      <c r="P191" s="5">
        <v>111.36</v>
      </c>
      <c r="Q191" s="5">
        <v>111.36</v>
      </c>
      <c r="R191" s="5">
        <v>149</v>
      </c>
      <c r="S191" s="5">
        <v>117.8</v>
      </c>
      <c r="T191" s="3"/>
      <c r="U191" s="3"/>
      <c r="V191" s="3"/>
      <c r="W191" s="3"/>
      <c r="X191" s="3"/>
      <c r="Y191" s="3"/>
      <c r="Z191">
        <f>VLOOKUP(A191,[1]Worksheet!$A$1:$A$510,1,0)</f>
        <v>399</v>
      </c>
      <c r="AA191">
        <f t="shared" si="2"/>
        <v>1</v>
      </c>
    </row>
    <row r="192" spans="1:27" hidden="1" x14ac:dyDescent="0.3">
      <c r="A192" s="1">
        <v>400</v>
      </c>
      <c r="B192" s="1" t="s">
        <v>617</v>
      </c>
      <c r="C192" s="1" t="s">
        <v>26</v>
      </c>
      <c r="D192" s="1" t="s">
        <v>613</v>
      </c>
      <c r="E192" s="1" t="s">
        <v>28</v>
      </c>
      <c r="F192" s="1" t="s">
        <v>29</v>
      </c>
      <c r="G192" s="1" t="s">
        <v>30</v>
      </c>
      <c r="H192" s="1" t="s">
        <v>31</v>
      </c>
      <c r="I192" s="1">
        <v>100</v>
      </c>
      <c r="J192" s="1" t="s">
        <v>618</v>
      </c>
      <c r="K192" s="1" t="s">
        <v>33</v>
      </c>
      <c r="L192" s="1" t="s">
        <v>33</v>
      </c>
      <c r="M192" s="1" t="s">
        <v>34</v>
      </c>
      <c r="N192" s="5">
        <v>127.14</v>
      </c>
      <c r="O192" s="5">
        <v>123</v>
      </c>
      <c r="P192" s="5">
        <v>397.73</v>
      </c>
      <c r="Q192" s="5">
        <v>270.45</v>
      </c>
      <c r="R192" s="5">
        <v>282.86</v>
      </c>
      <c r="S192" s="5">
        <v>220</v>
      </c>
      <c r="T192" s="3"/>
      <c r="U192" s="3"/>
      <c r="V192" s="3"/>
      <c r="W192" s="3"/>
      <c r="X192" s="3"/>
      <c r="Y192" s="3"/>
      <c r="Z192">
        <f>VLOOKUP(A192,[1]Worksheet!$A$1:$A$510,1,0)</f>
        <v>400</v>
      </c>
      <c r="AA192">
        <f t="shared" si="2"/>
        <v>1</v>
      </c>
    </row>
    <row r="193" spans="1:27" hidden="1" x14ac:dyDescent="0.3">
      <c r="A193" s="1">
        <v>401</v>
      </c>
      <c r="B193" s="1" t="s">
        <v>619</v>
      </c>
      <c r="C193" s="1" t="s">
        <v>26</v>
      </c>
      <c r="D193" s="1" t="s">
        <v>620</v>
      </c>
      <c r="E193" s="1" t="s">
        <v>28</v>
      </c>
      <c r="F193" s="1" t="s">
        <v>29</v>
      </c>
      <c r="G193" s="1" t="s">
        <v>30</v>
      </c>
      <c r="H193" s="1" t="s">
        <v>31</v>
      </c>
      <c r="I193" s="1">
        <v>100</v>
      </c>
      <c r="J193" s="1" t="s">
        <v>621</v>
      </c>
      <c r="K193" s="1" t="s">
        <v>33</v>
      </c>
      <c r="L193" s="1" t="s">
        <v>33</v>
      </c>
      <c r="M193" s="1" t="s">
        <v>34</v>
      </c>
      <c r="N193" s="4">
        <v>100</v>
      </c>
      <c r="O193" s="4">
        <v>100</v>
      </c>
      <c r="P193" s="5">
        <v>100</v>
      </c>
      <c r="Q193" s="5">
        <v>112.5</v>
      </c>
      <c r="R193" s="5">
        <v>125</v>
      </c>
      <c r="S193" s="6">
        <v>87.5</v>
      </c>
      <c r="T193" s="3"/>
      <c r="U193" s="3"/>
      <c r="V193" s="3"/>
      <c r="W193" s="3"/>
      <c r="X193" s="3"/>
      <c r="Y193" s="3"/>
      <c r="Z193">
        <f>VLOOKUP(A193,[1]Worksheet!$A$1:$A$510,1,0)</f>
        <v>401</v>
      </c>
      <c r="AA193">
        <f t="shared" si="2"/>
        <v>1</v>
      </c>
    </row>
    <row r="194" spans="1:27" hidden="1" x14ac:dyDescent="0.3">
      <c r="A194" s="1">
        <v>403</v>
      </c>
      <c r="B194" s="1" t="s">
        <v>624</v>
      </c>
      <c r="C194" s="1" t="s">
        <v>47</v>
      </c>
      <c r="D194" s="1" t="s">
        <v>620</v>
      </c>
      <c r="E194" s="1" t="s">
        <v>116</v>
      </c>
      <c r="F194" s="1" t="s">
        <v>29</v>
      </c>
      <c r="G194" s="1" t="s">
        <v>30</v>
      </c>
      <c r="H194" s="1" t="s">
        <v>31</v>
      </c>
      <c r="I194" s="1" t="s">
        <v>117</v>
      </c>
      <c r="J194" s="1" t="s">
        <v>625</v>
      </c>
      <c r="K194" s="1" t="s">
        <v>33</v>
      </c>
      <c r="L194" s="1" t="s">
        <v>33</v>
      </c>
      <c r="M194" s="1" t="s">
        <v>34</v>
      </c>
      <c r="N194" s="8">
        <v>12510</v>
      </c>
      <c r="O194" s="8">
        <v>14410</v>
      </c>
      <c r="P194" s="8">
        <v>14495</v>
      </c>
      <c r="Q194" s="8">
        <v>14923</v>
      </c>
      <c r="R194" s="8">
        <v>28639</v>
      </c>
      <c r="S194" s="8">
        <v>14370</v>
      </c>
      <c r="T194" s="3"/>
      <c r="U194" s="3"/>
      <c r="V194" s="3"/>
      <c r="W194" s="3"/>
      <c r="X194" s="3"/>
      <c r="Y194" s="3"/>
      <c r="Z194">
        <f>VLOOKUP(A194,[1]Worksheet!$A$1:$A$510,1,0)</f>
        <v>403</v>
      </c>
      <c r="AA194">
        <f t="shared" ref="AA194:AA257" si="3">IF(A194=A193,0,1)</f>
        <v>1</v>
      </c>
    </row>
    <row r="195" spans="1:27" hidden="1" x14ac:dyDescent="0.3">
      <c r="A195" s="1">
        <v>408</v>
      </c>
      <c r="B195" s="1" t="s">
        <v>626</v>
      </c>
      <c r="C195" s="1" t="s">
        <v>47</v>
      </c>
      <c r="D195" s="1" t="s">
        <v>465</v>
      </c>
      <c r="E195" s="1" t="s">
        <v>28</v>
      </c>
      <c r="F195" s="1" t="s">
        <v>29</v>
      </c>
      <c r="G195" s="1" t="s">
        <v>30</v>
      </c>
      <c r="H195" s="1" t="s">
        <v>153</v>
      </c>
      <c r="I195" s="1">
        <v>100</v>
      </c>
      <c r="J195" s="1" t="s">
        <v>627</v>
      </c>
      <c r="K195" s="1" t="s">
        <v>155</v>
      </c>
      <c r="L195" s="1" t="s">
        <v>34</v>
      </c>
      <c r="M195" s="1" t="s">
        <v>34</v>
      </c>
      <c r="N195" s="4">
        <v>100</v>
      </c>
      <c r="O195" s="4">
        <v>100</v>
      </c>
      <c r="P195" s="4">
        <v>100</v>
      </c>
      <c r="Q195" s="3" t="s">
        <v>59</v>
      </c>
      <c r="R195" s="4">
        <v>100</v>
      </c>
      <c r="S195" s="3" t="s">
        <v>59</v>
      </c>
      <c r="T195" s="3" t="s">
        <v>59</v>
      </c>
      <c r="U195" s="3" t="s">
        <v>59</v>
      </c>
      <c r="V195" s="3" t="s">
        <v>59</v>
      </c>
      <c r="W195" s="3" t="s">
        <v>59</v>
      </c>
      <c r="X195" s="3" t="s">
        <v>59</v>
      </c>
      <c r="Y195" s="3" t="s">
        <v>59</v>
      </c>
      <c r="Z195">
        <f>VLOOKUP(A195,[1]Worksheet!$A$1:$A$510,1,0)</f>
        <v>408</v>
      </c>
      <c r="AA195">
        <f t="shared" si="3"/>
        <v>1</v>
      </c>
    </row>
    <row r="196" spans="1:27" hidden="1" x14ac:dyDescent="0.3">
      <c r="A196" s="1">
        <v>422</v>
      </c>
      <c r="B196" s="1" t="s">
        <v>750</v>
      </c>
      <c r="C196" s="1" t="s">
        <v>47</v>
      </c>
      <c r="D196" s="1" t="s">
        <v>751</v>
      </c>
      <c r="E196" s="1" t="s">
        <v>28</v>
      </c>
      <c r="F196" s="1" t="s">
        <v>29</v>
      </c>
      <c r="G196" s="1" t="s">
        <v>30</v>
      </c>
      <c r="H196" s="1" t="s">
        <v>31</v>
      </c>
      <c r="I196" s="1">
        <v>7.68</v>
      </c>
      <c r="J196" s="1" t="s">
        <v>752</v>
      </c>
      <c r="K196" s="1" t="s">
        <v>33</v>
      </c>
      <c r="L196" s="1" t="s">
        <v>33</v>
      </c>
      <c r="M196" s="1" t="s">
        <v>34</v>
      </c>
      <c r="N196" s="4">
        <v>7.87</v>
      </c>
      <c r="O196" s="5">
        <v>8.1999999999999993</v>
      </c>
      <c r="P196" s="6">
        <v>7.91</v>
      </c>
      <c r="Q196" s="6">
        <v>8.86</v>
      </c>
      <c r="R196" s="5">
        <v>11.04</v>
      </c>
      <c r="S196" s="5">
        <v>11.973211368834001</v>
      </c>
      <c r="T196" s="3"/>
      <c r="U196" s="3"/>
      <c r="V196" s="3"/>
      <c r="W196" s="3"/>
      <c r="X196" s="3"/>
      <c r="Y196" s="3"/>
      <c r="Z196">
        <f>VLOOKUP(A196,[1]Worksheet!$A$1:$A$510,1,0)</f>
        <v>422</v>
      </c>
      <c r="AA196">
        <f t="shared" si="3"/>
        <v>1</v>
      </c>
    </row>
    <row r="197" spans="1:27" hidden="1" x14ac:dyDescent="0.3">
      <c r="A197" s="1">
        <v>426</v>
      </c>
      <c r="B197" s="1" t="s">
        <v>757</v>
      </c>
      <c r="C197" s="1" t="s">
        <v>26</v>
      </c>
      <c r="D197" s="1" t="s">
        <v>83</v>
      </c>
      <c r="E197" s="1" t="s">
        <v>28</v>
      </c>
      <c r="F197" s="1" t="s">
        <v>29</v>
      </c>
      <c r="G197" s="1" t="s">
        <v>30</v>
      </c>
      <c r="H197" s="1" t="s">
        <v>31</v>
      </c>
      <c r="I197" s="1"/>
      <c r="J197" s="1" t="s">
        <v>758</v>
      </c>
      <c r="K197" s="1" t="s">
        <v>33</v>
      </c>
      <c r="L197" s="1" t="s">
        <v>33</v>
      </c>
      <c r="M197" s="1" t="s">
        <v>34</v>
      </c>
      <c r="N197" s="3"/>
      <c r="O197" s="3"/>
      <c r="P197" s="4">
        <v>86.72</v>
      </c>
      <c r="Q197" s="6">
        <v>60.27</v>
      </c>
      <c r="R197" s="9">
        <v>92.31</v>
      </c>
      <c r="S197" s="9">
        <v>86.98</v>
      </c>
      <c r="T197" s="3"/>
      <c r="U197" s="3"/>
      <c r="V197" s="3"/>
      <c r="W197" s="3"/>
      <c r="X197" s="3"/>
      <c r="Y197" s="3"/>
      <c r="Z197">
        <f>VLOOKUP(A197,[1]Worksheet!$A$1:$A$510,1,0)</f>
        <v>426</v>
      </c>
      <c r="AA197">
        <f t="shared" si="3"/>
        <v>1</v>
      </c>
    </row>
    <row r="198" spans="1:27" hidden="1" x14ac:dyDescent="0.3">
      <c r="A198" s="1">
        <v>427</v>
      </c>
      <c r="B198" s="1" t="s">
        <v>759</v>
      </c>
      <c r="C198" s="1" t="s">
        <v>26</v>
      </c>
      <c r="D198" s="1" t="s">
        <v>93</v>
      </c>
      <c r="E198" s="1" t="s">
        <v>40</v>
      </c>
      <c r="F198" s="1" t="s">
        <v>29</v>
      </c>
      <c r="G198" s="1" t="s">
        <v>41</v>
      </c>
      <c r="H198" s="1" t="s">
        <v>153</v>
      </c>
      <c r="I198" s="1">
        <v>0.2</v>
      </c>
      <c r="J198" s="1" t="s">
        <v>760</v>
      </c>
      <c r="K198" s="1" t="s">
        <v>207</v>
      </c>
      <c r="L198" s="1" t="s">
        <v>34</v>
      </c>
      <c r="M198" s="1" t="s">
        <v>34</v>
      </c>
      <c r="N198" s="4">
        <v>0.15</v>
      </c>
      <c r="O198" s="5">
        <v>0.14000000000000001</v>
      </c>
      <c r="P198" s="4">
        <v>0.17</v>
      </c>
      <c r="Q198" s="4">
        <v>0.17</v>
      </c>
      <c r="R198" s="4">
        <v>0.2</v>
      </c>
      <c r="S198" s="5">
        <v>0.13666666666666999</v>
      </c>
      <c r="T198" s="5">
        <v>0</v>
      </c>
      <c r="U198" s="5">
        <v>0</v>
      </c>
      <c r="V198" s="5">
        <v>0</v>
      </c>
      <c r="W198" s="5">
        <v>0</v>
      </c>
      <c r="X198" s="3">
        <v>0</v>
      </c>
      <c r="Y198" s="3">
        <v>0</v>
      </c>
      <c r="Z198">
        <f>VLOOKUP(A198,[1]Worksheet!$A$1:$A$510,1,0)</f>
        <v>427</v>
      </c>
      <c r="AA198">
        <f t="shared" si="3"/>
        <v>1</v>
      </c>
    </row>
    <row r="199" spans="1:27" hidden="1" x14ac:dyDescent="0.3">
      <c r="A199" s="1">
        <v>428</v>
      </c>
      <c r="B199" s="1" t="s">
        <v>761</v>
      </c>
      <c r="C199" s="1" t="s">
        <v>26</v>
      </c>
      <c r="D199" s="1" t="s">
        <v>93</v>
      </c>
      <c r="E199" s="1" t="s">
        <v>40</v>
      </c>
      <c r="F199" s="1" t="s">
        <v>29</v>
      </c>
      <c r="G199" s="1" t="s">
        <v>41</v>
      </c>
      <c r="H199" s="1" t="s">
        <v>153</v>
      </c>
      <c r="I199" s="1">
        <v>20</v>
      </c>
      <c r="J199" s="1" t="s">
        <v>762</v>
      </c>
      <c r="K199" s="1" t="s">
        <v>155</v>
      </c>
      <c r="L199" s="1" t="s">
        <v>34</v>
      </c>
      <c r="M199" s="1" t="s">
        <v>34</v>
      </c>
      <c r="N199" s="5">
        <v>17.88</v>
      </c>
      <c r="O199" s="5">
        <v>15.12</v>
      </c>
      <c r="P199" s="4">
        <v>18.53</v>
      </c>
      <c r="Q199" s="5">
        <v>16.579999999999998</v>
      </c>
      <c r="R199" s="4">
        <v>18.63</v>
      </c>
      <c r="S199" s="5">
        <v>17.59</v>
      </c>
      <c r="T199" s="7">
        <v>22.305356231019001</v>
      </c>
      <c r="U199" s="5">
        <v>13.214886008045999</v>
      </c>
      <c r="V199" s="5">
        <v>17.40108659740832</v>
      </c>
      <c r="W199" s="5">
        <v>16.284636924839301</v>
      </c>
      <c r="X199" s="3" t="s">
        <v>59</v>
      </c>
      <c r="Y199" s="3" t="s">
        <v>59</v>
      </c>
      <c r="Z199">
        <f>VLOOKUP(A199,[1]Worksheet!$A$1:$A$510,1,0)</f>
        <v>428</v>
      </c>
      <c r="AA199">
        <f t="shared" si="3"/>
        <v>1</v>
      </c>
    </row>
    <row r="200" spans="1:27" hidden="1" x14ac:dyDescent="0.3">
      <c r="A200" s="1">
        <v>429</v>
      </c>
      <c r="B200" s="1" t="s">
        <v>763</v>
      </c>
      <c r="C200" s="1" t="s">
        <v>26</v>
      </c>
      <c r="D200" s="1" t="s">
        <v>93</v>
      </c>
      <c r="E200" s="1" t="s">
        <v>40</v>
      </c>
      <c r="F200" s="1" t="s">
        <v>29</v>
      </c>
      <c r="G200" s="1" t="s">
        <v>41</v>
      </c>
      <c r="H200" s="1" t="s">
        <v>153</v>
      </c>
      <c r="I200" s="1">
        <v>0.76</v>
      </c>
      <c r="J200" s="1" t="s">
        <v>764</v>
      </c>
      <c r="K200" s="1" t="s">
        <v>155</v>
      </c>
      <c r="L200" s="1" t="s">
        <v>34</v>
      </c>
      <c r="M200" s="1" t="s">
        <v>34</v>
      </c>
      <c r="N200" s="5">
        <v>0.52</v>
      </c>
      <c r="O200" s="5">
        <v>0.59</v>
      </c>
      <c r="P200" s="4">
        <v>0.67</v>
      </c>
      <c r="Q200" s="4">
        <v>0.66</v>
      </c>
      <c r="R200" s="4">
        <v>0.76</v>
      </c>
      <c r="S200" s="5">
        <v>0.3</v>
      </c>
      <c r="T200" s="5">
        <v>0.27551598619033002</v>
      </c>
      <c r="U200" s="5">
        <v>0.25392715346106998</v>
      </c>
      <c r="V200" s="3" t="s">
        <v>59</v>
      </c>
      <c r="W200" s="3" t="s">
        <v>59</v>
      </c>
      <c r="X200" s="3" t="s">
        <v>59</v>
      </c>
      <c r="Y200" s="3" t="s">
        <v>59</v>
      </c>
      <c r="Z200">
        <f>VLOOKUP(A200,[1]Worksheet!$A$1:$A$510,1,0)</f>
        <v>429</v>
      </c>
      <c r="AA200">
        <f t="shared" si="3"/>
        <v>1</v>
      </c>
    </row>
    <row r="201" spans="1:27" hidden="1" x14ac:dyDescent="0.3">
      <c r="A201" s="1">
        <v>430</v>
      </c>
      <c r="B201" s="1" t="s">
        <v>765</v>
      </c>
      <c r="C201" s="1" t="s">
        <v>47</v>
      </c>
      <c r="D201" s="1" t="s">
        <v>152</v>
      </c>
      <c r="E201" s="1" t="s">
        <v>28</v>
      </c>
      <c r="F201" s="1" t="s">
        <v>29</v>
      </c>
      <c r="G201" s="1" t="s">
        <v>30</v>
      </c>
      <c r="H201" s="1" t="s">
        <v>153</v>
      </c>
      <c r="I201" s="1">
        <v>95</v>
      </c>
      <c r="J201" s="1" t="s">
        <v>766</v>
      </c>
      <c r="K201" s="1" t="s">
        <v>155</v>
      </c>
      <c r="L201" s="1" t="s">
        <v>34</v>
      </c>
      <c r="M201" s="1" t="s">
        <v>34</v>
      </c>
      <c r="N201" s="5">
        <v>111.76</v>
      </c>
      <c r="O201" s="5">
        <v>110.79</v>
      </c>
      <c r="P201" s="5">
        <v>102.9374919710379</v>
      </c>
      <c r="Q201" s="5">
        <v>101.88</v>
      </c>
      <c r="R201" s="5">
        <v>101.39526345983001</v>
      </c>
      <c r="S201" s="5">
        <v>104.59563552424</v>
      </c>
      <c r="T201" s="3" t="s">
        <v>59</v>
      </c>
      <c r="U201" s="3" t="s">
        <v>59</v>
      </c>
      <c r="V201" s="3" t="s">
        <v>59</v>
      </c>
      <c r="W201" s="3" t="s">
        <v>59</v>
      </c>
      <c r="X201" s="3" t="s">
        <v>59</v>
      </c>
      <c r="Y201" s="3" t="s">
        <v>59</v>
      </c>
      <c r="Z201">
        <f>VLOOKUP(A201,[1]Worksheet!$A$1:$A$510,1,0)</f>
        <v>430</v>
      </c>
      <c r="AA201">
        <f t="shared" si="3"/>
        <v>1</v>
      </c>
    </row>
    <row r="202" spans="1:27" hidden="1" x14ac:dyDescent="0.3">
      <c r="A202" s="1">
        <v>433</v>
      </c>
      <c r="B202" s="1" t="s">
        <v>797</v>
      </c>
      <c r="C202" s="1" t="s">
        <v>26</v>
      </c>
      <c r="D202" s="1" t="s">
        <v>93</v>
      </c>
      <c r="E202" s="1" t="s">
        <v>28</v>
      </c>
      <c r="F202" s="1" t="s">
        <v>29</v>
      </c>
      <c r="G202" s="1" t="s">
        <v>41</v>
      </c>
      <c r="H202" s="1" t="s">
        <v>153</v>
      </c>
      <c r="I202" s="1">
        <v>0.05</v>
      </c>
      <c r="J202" s="1" t="s">
        <v>798</v>
      </c>
      <c r="K202" s="1" t="s">
        <v>155</v>
      </c>
      <c r="L202" s="1" t="s">
        <v>34</v>
      </c>
      <c r="M202" s="1" t="s">
        <v>34</v>
      </c>
      <c r="N202" s="7">
        <v>0.17</v>
      </c>
      <c r="O202" s="4">
        <v>0.02</v>
      </c>
      <c r="P202" s="7">
        <v>0.14000000000000001</v>
      </c>
      <c r="Q202" s="6">
        <v>7.0000000000000007E-2</v>
      </c>
      <c r="R202" s="4">
        <v>0.05</v>
      </c>
      <c r="S202" s="4">
        <v>0.02</v>
      </c>
      <c r="T202" s="4">
        <v>0.03</v>
      </c>
      <c r="U202" s="5">
        <v>6.1890925346445998E-4</v>
      </c>
      <c r="V202" s="3" t="s">
        <v>59</v>
      </c>
      <c r="W202" s="3" t="s">
        <v>59</v>
      </c>
      <c r="X202" s="3" t="s">
        <v>59</v>
      </c>
      <c r="Y202" s="3" t="s">
        <v>59</v>
      </c>
      <c r="Z202">
        <f>VLOOKUP(A202,[1]Worksheet!$A$1:$A$510,1,0)</f>
        <v>433</v>
      </c>
      <c r="AA202">
        <f t="shared" si="3"/>
        <v>1</v>
      </c>
    </row>
    <row r="203" spans="1:27" hidden="1" x14ac:dyDescent="0.3">
      <c r="A203" s="1">
        <v>435</v>
      </c>
      <c r="B203" s="1" t="s">
        <v>801</v>
      </c>
      <c r="C203" s="1" t="s">
        <v>26</v>
      </c>
      <c r="D203" s="1" t="s">
        <v>93</v>
      </c>
      <c r="E203" s="1" t="s">
        <v>40</v>
      </c>
      <c r="F203" s="1" t="s">
        <v>29</v>
      </c>
      <c r="G203" s="1" t="s">
        <v>30</v>
      </c>
      <c r="H203" s="1" t="s">
        <v>153</v>
      </c>
      <c r="I203" s="1">
        <v>100</v>
      </c>
      <c r="J203" s="1" t="s">
        <v>802</v>
      </c>
      <c r="K203" s="1" t="s">
        <v>155</v>
      </c>
      <c r="L203" s="1" t="s">
        <v>34</v>
      </c>
      <c r="M203" s="1" t="s">
        <v>34</v>
      </c>
      <c r="N203" s="7">
        <v>-732.08</v>
      </c>
      <c r="O203" s="4">
        <v>96.09</v>
      </c>
      <c r="P203" s="4">
        <v>71.09</v>
      </c>
      <c r="Q203" s="7">
        <v>-20.67</v>
      </c>
      <c r="R203" s="7">
        <v>-111.57</v>
      </c>
      <c r="S203" s="3" t="s">
        <v>59</v>
      </c>
      <c r="T203" s="3"/>
      <c r="U203" s="3" t="s">
        <v>59</v>
      </c>
      <c r="V203" s="3" t="s">
        <v>59</v>
      </c>
      <c r="W203" s="3" t="s">
        <v>59</v>
      </c>
      <c r="X203" s="3" t="s">
        <v>59</v>
      </c>
      <c r="Y203" s="3" t="s">
        <v>59</v>
      </c>
      <c r="Z203">
        <f>VLOOKUP(A203,[1]Worksheet!$A$1:$A$510,1,0)</f>
        <v>435</v>
      </c>
      <c r="AA203">
        <f t="shared" si="3"/>
        <v>1</v>
      </c>
    </row>
    <row r="204" spans="1:27" hidden="1" x14ac:dyDescent="0.3">
      <c r="A204" s="1">
        <v>439</v>
      </c>
      <c r="B204" s="1" t="s">
        <v>812</v>
      </c>
      <c r="C204" s="1" t="s">
        <v>26</v>
      </c>
      <c r="D204" s="1" t="s">
        <v>519</v>
      </c>
      <c r="E204" s="1" t="s">
        <v>28</v>
      </c>
      <c r="F204" s="1" t="s">
        <v>29</v>
      </c>
      <c r="G204" s="1" t="s">
        <v>30</v>
      </c>
      <c r="H204" s="1" t="s">
        <v>153</v>
      </c>
      <c r="I204" s="1">
        <v>100</v>
      </c>
      <c r="J204" s="1" t="s">
        <v>813</v>
      </c>
      <c r="K204" s="1" t="s">
        <v>186</v>
      </c>
      <c r="L204" s="1" t="s">
        <v>34</v>
      </c>
      <c r="M204" s="1" t="s">
        <v>34</v>
      </c>
      <c r="N204" s="4">
        <v>100</v>
      </c>
      <c r="O204" s="4">
        <v>100</v>
      </c>
      <c r="P204" s="4">
        <v>100</v>
      </c>
      <c r="Q204" s="4">
        <v>100</v>
      </c>
      <c r="R204" s="4">
        <v>100</v>
      </c>
      <c r="S204" s="3" t="s">
        <v>59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>
        <f>VLOOKUP(A204,[1]Worksheet!$A$1:$A$510,1,0)</f>
        <v>439</v>
      </c>
      <c r="AA204">
        <f t="shared" si="3"/>
        <v>1</v>
      </c>
    </row>
    <row r="205" spans="1:27" hidden="1" x14ac:dyDescent="0.3">
      <c r="A205" s="1">
        <v>440</v>
      </c>
      <c r="B205" s="1" t="s">
        <v>814</v>
      </c>
      <c r="C205" s="1" t="s">
        <v>26</v>
      </c>
      <c r="D205" s="1" t="s">
        <v>519</v>
      </c>
      <c r="E205" s="1" t="s">
        <v>28</v>
      </c>
      <c r="F205" s="1" t="s">
        <v>29</v>
      </c>
      <c r="G205" s="1" t="s">
        <v>30</v>
      </c>
      <c r="H205" s="1" t="s">
        <v>153</v>
      </c>
      <c r="I205" s="1">
        <v>98</v>
      </c>
      <c r="J205" s="1" t="s">
        <v>815</v>
      </c>
      <c r="K205" s="1" t="s">
        <v>155</v>
      </c>
      <c r="L205" s="1" t="s">
        <v>34</v>
      </c>
      <c r="M205" s="1" t="s">
        <v>34</v>
      </c>
      <c r="N205" s="4">
        <v>99.74</v>
      </c>
      <c r="O205" s="4">
        <v>99.77</v>
      </c>
      <c r="P205" s="4">
        <v>99.24</v>
      </c>
      <c r="Q205" s="4">
        <v>99.73</v>
      </c>
      <c r="R205" s="6">
        <v>97.746062537526996</v>
      </c>
      <c r="S205" s="3" t="s">
        <v>59</v>
      </c>
      <c r="T205" s="3" t="s">
        <v>59</v>
      </c>
      <c r="U205" s="3" t="s">
        <v>59</v>
      </c>
      <c r="V205" s="3" t="s">
        <v>59</v>
      </c>
      <c r="W205" s="3" t="s">
        <v>59</v>
      </c>
      <c r="X205" s="3" t="s">
        <v>59</v>
      </c>
      <c r="Y205" s="3" t="s">
        <v>59</v>
      </c>
      <c r="Z205">
        <f>VLOOKUP(A205,[1]Worksheet!$A$1:$A$510,1,0)</f>
        <v>440</v>
      </c>
      <c r="AA205">
        <f t="shared" si="3"/>
        <v>1</v>
      </c>
    </row>
    <row r="206" spans="1:27" hidden="1" x14ac:dyDescent="0.3">
      <c r="A206" s="1">
        <v>444</v>
      </c>
      <c r="B206" s="1" t="s">
        <v>816</v>
      </c>
      <c r="C206" s="1" t="s">
        <v>26</v>
      </c>
      <c r="D206" s="1" t="s">
        <v>295</v>
      </c>
      <c r="E206" s="1" t="s">
        <v>28</v>
      </c>
      <c r="F206" s="1" t="s">
        <v>29</v>
      </c>
      <c r="G206" s="1" t="s">
        <v>41</v>
      </c>
      <c r="H206" s="1" t="s">
        <v>31</v>
      </c>
      <c r="I206" s="1">
        <v>3</v>
      </c>
      <c r="J206" s="1" t="s">
        <v>817</v>
      </c>
      <c r="K206" s="1" t="s">
        <v>33</v>
      </c>
      <c r="L206" s="1" t="s">
        <v>33</v>
      </c>
      <c r="M206" s="1" t="s">
        <v>34</v>
      </c>
      <c r="N206" s="5">
        <v>1.7</v>
      </c>
      <c r="O206" s="5">
        <v>1.6</v>
      </c>
      <c r="P206" s="9">
        <v>2.1</v>
      </c>
      <c r="Q206" s="3"/>
      <c r="R206" s="3"/>
      <c r="S206" s="3"/>
      <c r="T206" s="3"/>
      <c r="U206" s="3"/>
      <c r="V206" s="3"/>
      <c r="W206" s="3"/>
      <c r="X206" s="3"/>
      <c r="Y206" s="3"/>
      <c r="Z206">
        <f>VLOOKUP(A206,[1]Worksheet!$A$1:$A$510,1,0)</f>
        <v>444</v>
      </c>
      <c r="AA206">
        <f t="shared" si="3"/>
        <v>1</v>
      </c>
    </row>
    <row r="207" spans="1:27" hidden="1" x14ac:dyDescent="0.3">
      <c r="A207" s="1">
        <v>445</v>
      </c>
      <c r="B207" s="1" t="s">
        <v>818</v>
      </c>
      <c r="C207" s="1" t="s">
        <v>26</v>
      </c>
      <c r="D207" s="1" t="s">
        <v>295</v>
      </c>
      <c r="E207" s="1" t="s">
        <v>44</v>
      </c>
      <c r="F207" s="1" t="s">
        <v>29</v>
      </c>
      <c r="G207" s="1" t="s">
        <v>30</v>
      </c>
      <c r="H207" s="1" t="s">
        <v>31</v>
      </c>
      <c r="I207" s="1">
        <v>70</v>
      </c>
      <c r="J207" s="1" t="s">
        <v>819</v>
      </c>
      <c r="K207" s="1" t="s">
        <v>33</v>
      </c>
      <c r="L207" s="1" t="s">
        <v>33</v>
      </c>
      <c r="M207" s="1" t="s">
        <v>34</v>
      </c>
      <c r="N207" s="5">
        <v>85.3</v>
      </c>
      <c r="O207" s="5">
        <v>75.7</v>
      </c>
      <c r="P207" s="5">
        <v>86.5</v>
      </c>
      <c r="Q207" s="6">
        <v>55.2</v>
      </c>
      <c r="R207" s="3"/>
      <c r="S207" s="3"/>
      <c r="T207" s="3"/>
      <c r="U207" s="3"/>
      <c r="V207" s="3"/>
      <c r="W207" s="3"/>
      <c r="X207" s="3"/>
      <c r="Y207" s="3"/>
      <c r="Z207">
        <f>VLOOKUP(A207,[1]Worksheet!$A$1:$A$510,1,0)</f>
        <v>445</v>
      </c>
      <c r="AA207">
        <f t="shared" si="3"/>
        <v>1</v>
      </c>
    </row>
    <row r="208" spans="1:27" hidden="1" x14ac:dyDescent="0.3">
      <c r="A208" s="1">
        <v>447</v>
      </c>
      <c r="B208" s="1" t="s">
        <v>426</v>
      </c>
      <c r="C208" s="1" t="s">
        <v>26</v>
      </c>
      <c r="D208" s="1" t="s">
        <v>132</v>
      </c>
      <c r="E208" s="1" t="s">
        <v>28</v>
      </c>
      <c r="F208" s="1" t="s">
        <v>29</v>
      </c>
      <c r="G208" s="1" t="s">
        <v>30</v>
      </c>
      <c r="H208" s="1" t="s">
        <v>31</v>
      </c>
      <c r="I208" s="1">
        <v>15</v>
      </c>
      <c r="J208" s="1" t="s">
        <v>820</v>
      </c>
      <c r="K208" s="1" t="s">
        <v>33</v>
      </c>
      <c r="L208" s="1" t="s">
        <v>33</v>
      </c>
      <c r="M208" s="1" t="s">
        <v>34</v>
      </c>
      <c r="N208" s="4">
        <v>15.01</v>
      </c>
      <c r="O208" s="5">
        <v>16.54</v>
      </c>
      <c r="P208" s="4">
        <v>16.16</v>
      </c>
      <c r="Q208" s="5">
        <v>31.04</v>
      </c>
      <c r="R208" s="3"/>
      <c r="S208" s="3"/>
      <c r="T208" s="3"/>
      <c r="U208" s="3"/>
      <c r="V208" s="3"/>
      <c r="W208" s="3"/>
      <c r="X208" s="3"/>
      <c r="Y208" s="3"/>
      <c r="Z208">
        <f>VLOOKUP(A208,[1]Worksheet!$A$1:$A$510,1,0)</f>
        <v>447</v>
      </c>
      <c r="AA208">
        <f t="shared" si="3"/>
        <v>1</v>
      </c>
    </row>
    <row r="209" spans="1:27" hidden="1" x14ac:dyDescent="0.3">
      <c r="A209" s="1">
        <v>448</v>
      </c>
      <c r="B209" s="1" t="s">
        <v>821</v>
      </c>
      <c r="C209" s="1" t="s">
        <v>26</v>
      </c>
      <c r="D209" s="1" t="s">
        <v>132</v>
      </c>
      <c r="E209" s="1" t="s">
        <v>28</v>
      </c>
      <c r="F209" s="1" t="s">
        <v>29</v>
      </c>
      <c r="G209" s="1" t="s">
        <v>30</v>
      </c>
      <c r="H209" s="1" t="s">
        <v>31</v>
      </c>
      <c r="I209" s="1">
        <v>17</v>
      </c>
      <c r="J209" s="1" t="s">
        <v>822</v>
      </c>
      <c r="K209" s="1" t="s">
        <v>33</v>
      </c>
      <c r="L209" s="1" t="s">
        <v>33</v>
      </c>
      <c r="M209" s="1" t="s">
        <v>34</v>
      </c>
      <c r="N209" s="5">
        <v>59.36</v>
      </c>
      <c r="O209" s="5">
        <v>39.619999999999997</v>
      </c>
      <c r="P209" s="4">
        <v>9.32</v>
      </c>
      <c r="Q209" s="5">
        <v>18.93</v>
      </c>
      <c r="R209" s="3"/>
      <c r="S209" s="3"/>
      <c r="T209" s="3"/>
      <c r="U209" s="3"/>
      <c r="V209" s="3"/>
      <c r="W209" s="3"/>
      <c r="X209" s="3"/>
      <c r="Y209" s="3"/>
      <c r="Z209">
        <f>VLOOKUP(A209,[1]Worksheet!$A$1:$A$510,1,0)</f>
        <v>448</v>
      </c>
      <c r="AA209">
        <f t="shared" si="3"/>
        <v>1</v>
      </c>
    </row>
    <row r="210" spans="1:27" hidden="1" x14ac:dyDescent="0.3">
      <c r="A210" s="1">
        <v>451</v>
      </c>
      <c r="B210" s="1" t="s">
        <v>823</v>
      </c>
      <c r="C210" s="1" t="s">
        <v>26</v>
      </c>
      <c r="D210" s="1" t="s">
        <v>605</v>
      </c>
      <c r="E210" s="1" t="s">
        <v>44</v>
      </c>
      <c r="F210" s="1" t="s">
        <v>29</v>
      </c>
      <c r="G210" s="1" t="s">
        <v>30</v>
      </c>
      <c r="H210" s="1" t="s">
        <v>31</v>
      </c>
      <c r="I210" s="1">
        <v>100</v>
      </c>
      <c r="J210" s="1" t="s">
        <v>824</v>
      </c>
      <c r="K210" s="1" t="s">
        <v>33</v>
      </c>
      <c r="L210" s="1" t="s">
        <v>33</v>
      </c>
      <c r="M210" s="1" t="s">
        <v>34</v>
      </c>
      <c r="N210" s="5">
        <v>130.80000000000001</v>
      </c>
      <c r="O210" s="5">
        <v>119.5</v>
      </c>
      <c r="P210" s="9">
        <v>42.7</v>
      </c>
      <c r="Q210" s="9">
        <v>34.9</v>
      </c>
      <c r="R210" s="3"/>
      <c r="S210" s="3"/>
      <c r="T210" s="3"/>
      <c r="U210" s="3"/>
      <c r="V210" s="3"/>
      <c r="W210" s="3"/>
      <c r="X210" s="3"/>
      <c r="Y210" s="3"/>
      <c r="Z210">
        <f>VLOOKUP(A210,[1]Worksheet!$A$1:$A$510,1,0)</f>
        <v>451</v>
      </c>
      <c r="AA210">
        <f t="shared" si="3"/>
        <v>1</v>
      </c>
    </row>
    <row r="211" spans="1:27" hidden="1" x14ac:dyDescent="0.3">
      <c r="A211" s="1">
        <v>452</v>
      </c>
      <c r="B211" s="1" t="s">
        <v>825</v>
      </c>
      <c r="C211" s="1" t="s">
        <v>26</v>
      </c>
      <c r="D211" s="1" t="s">
        <v>605</v>
      </c>
      <c r="E211" s="1" t="s">
        <v>28</v>
      </c>
      <c r="F211" s="1" t="s">
        <v>29</v>
      </c>
      <c r="G211" s="1" t="s">
        <v>30</v>
      </c>
      <c r="H211" s="1" t="s">
        <v>31</v>
      </c>
      <c r="I211" s="1">
        <v>100</v>
      </c>
      <c r="J211" s="1" t="s">
        <v>826</v>
      </c>
      <c r="K211" s="1" t="s">
        <v>33</v>
      </c>
      <c r="L211" s="1" t="s">
        <v>33</v>
      </c>
      <c r="M211" s="1" t="s">
        <v>34</v>
      </c>
      <c r="N211" s="3"/>
      <c r="O211" s="3"/>
      <c r="P211" s="5">
        <v>160</v>
      </c>
      <c r="Q211" s="4">
        <v>100</v>
      </c>
      <c r="R211" s="3"/>
      <c r="S211" s="3"/>
      <c r="T211" s="3"/>
      <c r="U211" s="3"/>
      <c r="V211" s="3"/>
      <c r="W211" s="3"/>
      <c r="X211" s="3"/>
      <c r="Y211" s="3"/>
      <c r="Z211">
        <f>VLOOKUP(A211,[1]Worksheet!$A$1:$A$510,1,0)</f>
        <v>452</v>
      </c>
      <c r="AA211">
        <f t="shared" si="3"/>
        <v>1</v>
      </c>
    </row>
    <row r="212" spans="1:27" hidden="1" x14ac:dyDescent="0.3">
      <c r="A212" s="1">
        <v>466</v>
      </c>
      <c r="B212" s="1" t="s">
        <v>839</v>
      </c>
      <c r="C212" s="1" t="s">
        <v>47</v>
      </c>
      <c r="D212" s="1" t="s">
        <v>360</v>
      </c>
      <c r="E212" s="1" t="s">
        <v>28</v>
      </c>
      <c r="F212" s="1" t="s">
        <v>29</v>
      </c>
      <c r="G212" s="1" t="s">
        <v>30</v>
      </c>
      <c r="H212" s="1" t="s">
        <v>31</v>
      </c>
      <c r="I212" s="1">
        <v>100</v>
      </c>
      <c r="J212" s="1" t="s">
        <v>840</v>
      </c>
      <c r="K212" s="1" t="s">
        <v>33</v>
      </c>
      <c r="L212" s="1" t="s">
        <v>33</v>
      </c>
      <c r="M212" s="1" t="s">
        <v>34</v>
      </c>
      <c r="N212" s="5">
        <v>106.55</v>
      </c>
      <c r="O212" s="3" t="s">
        <v>59</v>
      </c>
      <c r="P212" s="5">
        <v>107.6</v>
      </c>
      <c r="Q212" s="5">
        <v>119.2</v>
      </c>
      <c r="R212" s="3"/>
      <c r="S212" s="3"/>
      <c r="T212" s="3"/>
      <c r="U212" s="3"/>
      <c r="V212" s="3"/>
      <c r="W212" s="3"/>
      <c r="X212" s="3"/>
      <c r="Y212" s="3"/>
      <c r="Z212">
        <f>VLOOKUP(A212,[1]Worksheet!$A$1:$A$510,1,0)</f>
        <v>466</v>
      </c>
      <c r="AA212">
        <f t="shared" si="3"/>
        <v>1</v>
      </c>
    </row>
    <row r="213" spans="1:27" hidden="1" x14ac:dyDescent="0.3">
      <c r="A213" s="1">
        <v>467</v>
      </c>
      <c r="B213" s="1" t="s">
        <v>841</v>
      </c>
      <c r="C213" s="1" t="s">
        <v>47</v>
      </c>
      <c r="D213" s="1" t="s">
        <v>360</v>
      </c>
      <c r="E213" s="1" t="s">
        <v>28</v>
      </c>
      <c r="F213" s="1" t="s">
        <v>29</v>
      </c>
      <c r="G213" s="1" t="s">
        <v>30</v>
      </c>
      <c r="H213" s="1" t="s">
        <v>31</v>
      </c>
      <c r="I213" s="1">
        <v>100</v>
      </c>
      <c r="J213" s="1" t="s">
        <v>842</v>
      </c>
      <c r="K213" s="1" t="s">
        <v>33</v>
      </c>
      <c r="L213" s="1" t="s">
        <v>33</v>
      </c>
      <c r="M213" s="1" t="s">
        <v>34</v>
      </c>
      <c r="N213" s="6">
        <v>99.5</v>
      </c>
      <c r="O213" s="5">
        <v>118</v>
      </c>
      <c r="P213" s="5">
        <v>121.83</v>
      </c>
      <c r="Q213" s="5">
        <v>121.25</v>
      </c>
      <c r="R213" s="3"/>
      <c r="S213" s="3"/>
      <c r="T213" s="3"/>
      <c r="U213" s="3"/>
      <c r="V213" s="3"/>
      <c r="W213" s="3"/>
      <c r="X213" s="3"/>
      <c r="Y213" s="3"/>
      <c r="Z213">
        <f>VLOOKUP(A213,[1]Worksheet!$A$1:$A$510,1,0)</f>
        <v>467</v>
      </c>
      <c r="AA213">
        <f t="shared" si="3"/>
        <v>1</v>
      </c>
    </row>
    <row r="214" spans="1:27" hidden="1" x14ac:dyDescent="0.3">
      <c r="A214" s="1">
        <v>468</v>
      </c>
      <c r="B214" s="1" t="s">
        <v>843</v>
      </c>
      <c r="C214" s="1" t="s">
        <v>47</v>
      </c>
      <c r="D214" s="1" t="s">
        <v>360</v>
      </c>
      <c r="E214" s="1" t="s">
        <v>28</v>
      </c>
      <c r="F214" s="1" t="s">
        <v>29</v>
      </c>
      <c r="G214" s="1" t="s">
        <v>41</v>
      </c>
      <c r="H214" s="1" t="s">
        <v>31</v>
      </c>
      <c r="I214" s="1">
        <v>2.5</v>
      </c>
      <c r="J214" s="1" t="s">
        <v>844</v>
      </c>
      <c r="K214" s="1" t="s">
        <v>33</v>
      </c>
      <c r="L214" s="1" t="s">
        <v>33</v>
      </c>
      <c r="M214" s="1" t="s">
        <v>34</v>
      </c>
      <c r="N214" s="5">
        <v>2.1</v>
      </c>
      <c r="O214" s="4">
        <v>2.4</v>
      </c>
      <c r="P214" s="4">
        <v>2.6</v>
      </c>
      <c r="Q214" s="4">
        <v>2.85</v>
      </c>
      <c r="R214" s="3"/>
      <c r="S214" s="3"/>
      <c r="T214" s="3"/>
      <c r="U214" s="3"/>
      <c r="V214" s="3"/>
      <c r="W214" s="3"/>
      <c r="X214" s="3"/>
      <c r="Y214" s="3"/>
      <c r="Z214">
        <f>VLOOKUP(A214,[1]Worksheet!$A$1:$A$510,1,0)</f>
        <v>468</v>
      </c>
      <c r="AA214">
        <f t="shared" si="3"/>
        <v>1</v>
      </c>
    </row>
    <row r="215" spans="1:27" hidden="1" x14ac:dyDescent="0.3">
      <c r="A215" s="1">
        <v>473</v>
      </c>
      <c r="B215" s="1" t="s">
        <v>895</v>
      </c>
      <c r="C215" s="1" t="s">
        <v>47</v>
      </c>
      <c r="D215" s="1" t="s">
        <v>896</v>
      </c>
      <c r="E215" s="1" t="s">
        <v>28</v>
      </c>
      <c r="F215" s="1" t="s">
        <v>29</v>
      </c>
      <c r="G215" s="1" t="s">
        <v>30</v>
      </c>
      <c r="H215" s="1" t="s">
        <v>153</v>
      </c>
      <c r="I215" s="1">
        <v>100</v>
      </c>
      <c r="J215" s="1" t="s">
        <v>897</v>
      </c>
      <c r="K215" s="1" t="s">
        <v>207</v>
      </c>
      <c r="L215" s="1" t="s">
        <v>34</v>
      </c>
      <c r="M215" s="1" t="s">
        <v>34</v>
      </c>
      <c r="N215" s="3" t="s">
        <v>59</v>
      </c>
      <c r="O215" s="4">
        <v>100</v>
      </c>
      <c r="P215" s="4">
        <v>100</v>
      </c>
      <c r="Q215" s="4">
        <v>100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 t="s">
        <v>59</v>
      </c>
      <c r="X215" s="3" t="s">
        <v>59</v>
      </c>
      <c r="Y215" s="3" t="s">
        <v>59</v>
      </c>
      <c r="Z215">
        <f>VLOOKUP(A215,[1]Worksheet!$A$1:$A$510,1,0)</f>
        <v>473</v>
      </c>
      <c r="AA215">
        <f t="shared" si="3"/>
        <v>1</v>
      </c>
    </row>
    <row r="216" spans="1:27" hidden="1" x14ac:dyDescent="0.3">
      <c r="A216" s="1">
        <v>474</v>
      </c>
      <c r="B216" s="1" t="s">
        <v>904</v>
      </c>
      <c r="C216" s="1" t="s">
        <v>47</v>
      </c>
      <c r="D216" s="1" t="s">
        <v>571</v>
      </c>
      <c r="E216" s="1" t="s">
        <v>28</v>
      </c>
      <c r="F216" s="1" t="s">
        <v>29</v>
      </c>
      <c r="G216" s="1" t="s">
        <v>30</v>
      </c>
      <c r="H216" s="1" t="s">
        <v>153</v>
      </c>
      <c r="I216" s="1"/>
      <c r="J216" s="1" t="s">
        <v>905</v>
      </c>
      <c r="K216" s="1" t="s">
        <v>186</v>
      </c>
      <c r="L216" s="1" t="s">
        <v>34</v>
      </c>
      <c r="M216" s="1" t="s">
        <v>34</v>
      </c>
      <c r="N216" s="3"/>
      <c r="O216" s="3">
        <v>0</v>
      </c>
      <c r="P216" s="4">
        <v>100</v>
      </c>
      <c r="Q216" s="4">
        <v>100</v>
      </c>
      <c r="R216" s="3" t="s">
        <v>59</v>
      </c>
      <c r="S216" s="3" t="s">
        <v>59</v>
      </c>
      <c r="T216" s="3" t="s">
        <v>59</v>
      </c>
      <c r="U216" s="3" t="s">
        <v>59</v>
      </c>
      <c r="V216" s="3" t="s">
        <v>59</v>
      </c>
      <c r="W216" s="3" t="s">
        <v>59</v>
      </c>
      <c r="X216" s="3" t="s">
        <v>59</v>
      </c>
      <c r="Y216" s="3" t="s">
        <v>59</v>
      </c>
      <c r="Z216">
        <f>VLOOKUP(A216,[1]Worksheet!$A$1:$A$510,1,0)</f>
        <v>474</v>
      </c>
      <c r="AA216">
        <f t="shared" si="3"/>
        <v>1</v>
      </c>
    </row>
    <row r="217" spans="1:27" x14ac:dyDescent="0.3">
      <c r="A217" s="1">
        <v>475</v>
      </c>
      <c r="B217" s="1" t="s">
        <v>906</v>
      </c>
      <c r="C217" s="1" t="s">
        <v>47</v>
      </c>
      <c r="D217" s="1" t="s">
        <v>465</v>
      </c>
      <c r="E217" s="1" t="s">
        <v>28</v>
      </c>
      <c r="F217" s="1" t="s">
        <v>29</v>
      </c>
      <c r="G217" s="1" t="s">
        <v>30</v>
      </c>
      <c r="H217" s="1" t="s">
        <v>31</v>
      </c>
      <c r="I217" s="1">
        <v>100</v>
      </c>
      <c r="J217" s="1" t="s">
        <v>907</v>
      </c>
      <c r="K217" s="1" t="s">
        <v>33</v>
      </c>
      <c r="L217" s="1" t="s">
        <v>33</v>
      </c>
      <c r="M217" s="1" t="s">
        <v>34</v>
      </c>
      <c r="N217" s="4">
        <v>100</v>
      </c>
      <c r="O217" s="3" t="s">
        <v>59</v>
      </c>
      <c r="P217" s="5">
        <v>140</v>
      </c>
      <c r="Q217" s="3" t="s">
        <v>59</v>
      </c>
      <c r="R217" s="3"/>
      <c r="S217" s="3"/>
      <c r="T217" s="3"/>
      <c r="U217" s="3"/>
      <c r="V217" s="3"/>
      <c r="W217" s="3"/>
      <c r="X217" s="3"/>
      <c r="Y217" s="3"/>
      <c r="Z217" t="e">
        <f>VLOOKUP(A217,[1]Worksheet!$A$1:$A$510,1,0)</f>
        <v>#N/A</v>
      </c>
      <c r="AA217">
        <f t="shared" si="3"/>
        <v>1</v>
      </c>
    </row>
    <row r="218" spans="1:27" hidden="1" x14ac:dyDescent="0.3">
      <c r="A218" s="1">
        <v>476</v>
      </c>
      <c r="B218" s="1" t="s">
        <v>908</v>
      </c>
      <c r="C218" s="1" t="s">
        <v>47</v>
      </c>
      <c r="D218" s="1" t="s">
        <v>896</v>
      </c>
      <c r="E218" s="1" t="s">
        <v>28</v>
      </c>
      <c r="F218" s="1" t="s">
        <v>29</v>
      </c>
      <c r="G218" s="1" t="s">
        <v>30</v>
      </c>
      <c r="H218" s="1" t="s">
        <v>153</v>
      </c>
      <c r="I218" s="1">
        <v>100</v>
      </c>
      <c r="J218" s="1" t="s">
        <v>909</v>
      </c>
      <c r="K218" s="1" t="s">
        <v>186</v>
      </c>
      <c r="L218" s="1" t="s">
        <v>34</v>
      </c>
      <c r="M218" s="1" t="s">
        <v>34</v>
      </c>
      <c r="N218" s="4">
        <v>100</v>
      </c>
      <c r="O218" s="4">
        <v>100</v>
      </c>
      <c r="P218" s="4">
        <v>100</v>
      </c>
      <c r="Q218" s="4">
        <v>100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>
        <f>VLOOKUP(A218,[1]Worksheet!$A$1:$A$510,1,0)</f>
        <v>476</v>
      </c>
      <c r="AA218">
        <f t="shared" si="3"/>
        <v>1</v>
      </c>
    </row>
    <row r="219" spans="1:27" x14ac:dyDescent="0.3">
      <c r="A219" s="1">
        <v>477</v>
      </c>
      <c r="B219" s="1" t="s">
        <v>910</v>
      </c>
      <c r="C219" s="1" t="s">
        <v>47</v>
      </c>
      <c r="D219" s="1" t="s">
        <v>571</v>
      </c>
      <c r="E219" s="1" t="s">
        <v>28</v>
      </c>
      <c r="F219" s="1" t="s">
        <v>29</v>
      </c>
      <c r="G219" s="1" t="s">
        <v>30</v>
      </c>
      <c r="H219" s="1" t="s">
        <v>153</v>
      </c>
      <c r="I219" s="1"/>
      <c r="J219" s="1" t="s">
        <v>911</v>
      </c>
      <c r="K219" s="1" t="s">
        <v>155</v>
      </c>
      <c r="L219" s="1" t="s">
        <v>34</v>
      </c>
      <c r="M219" s="1" t="s">
        <v>34</v>
      </c>
      <c r="N219" s="3"/>
      <c r="O219" s="3"/>
      <c r="P219" s="4">
        <v>100</v>
      </c>
      <c r="Q219" s="4">
        <v>100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  <c r="Z219" t="e">
        <f>VLOOKUP(A219,[1]Worksheet!$A$1:$A$510,1,0)</f>
        <v>#N/A</v>
      </c>
      <c r="AA219">
        <f t="shared" si="3"/>
        <v>1</v>
      </c>
    </row>
    <row r="220" spans="1:27" x14ac:dyDescent="0.3">
      <c r="A220" s="1">
        <v>478</v>
      </c>
      <c r="B220" s="1" t="s">
        <v>912</v>
      </c>
      <c r="C220" s="1" t="s">
        <v>47</v>
      </c>
      <c r="D220" s="1" t="s">
        <v>571</v>
      </c>
      <c r="E220" s="1" t="s">
        <v>28</v>
      </c>
      <c r="F220" s="1" t="s">
        <v>29</v>
      </c>
      <c r="G220" s="1" t="s">
        <v>30</v>
      </c>
      <c r="H220" s="1" t="s">
        <v>153</v>
      </c>
      <c r="I220" s="1"/>
      <c r="J220" s="1" t="s">
        <v>913</v>
      </c>
      <c r="K220" s="1" t="s">
        <v>223</v>
      </c>
      <c r="L220" s="1" t="s">
        <v>34</v>
      </c>
      <c r="M220" s="1" t="s">
        <v>34</v>
      </c>
      <c r="N220" s="3"/>
      <c r="O220" s="3">
        <v>0</v>
      </c>
      <c r="P220" s="4">
        <v>100</v>
      </c>
      <c r="Q220" s="3" t="s">
        <v>59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t="e">
        <f>VLOOKUP(A220,[1]Worksheet!$A$1:$A$510,1,0)</f>
        <v>#N/A</v>
      </c>
      <c r="AA220">
        <f t="shared" si="3"/>
        <v>1</v>
      </c>
    </row>
    <row r="221" spans="1:27" x14ac:dyDescent="0.3">
      <c r="A221" s="1">
        <v>479</v>
      </c>
      <c r="B221" s="1" t="s">
        <v>914</v>
      </c>
      <c r="C221" s="1" t="s">
        <v>47</v>
      </c>
      <c r="D221" s="1" t="s">
        <v>571</v>
      </c>
      <c r="E221" s="1" t="s">
        <v>28</v>
      </c>
      <c r="F221" s="1" t="s">
        <v>29</v>
      </c>
      <c r="G221" s="1" t="s">
        <v>30</v>
      </c>
      <c r="H221" s="1" t="s">
        <v>153</v>
      </c>
      <c r="I221" s="1">
        <v>100</v>
      </c>
      <c r="J221" s="1" t="s">
        <v>915</v>
      </c>
      <c r="K221" s="1" t="s">
        <v>155</v>
      </c>
      <c r="L221" s="1" t="s">
        <v>34</v>
      </c>
      <c r="M221" s="1" t="s">
        <v>34</v>
      </c>
      <c r="N221" s="3"/>
      <c r="O221" s="3"/>
      <c r="P221" s="4">
        <v>100</v>
      </c>
      <c r="Q221" s="4">
        <v>100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t="e">
        <f>VLOOKUP(A221,[1]Worksheet!$A$1:$A$510,1,0)</f>
        <v>#N/A</v>
      </c>
      <c r="AA221">
        <f t="shared" si="3"/>
        <v>1</v>
      </c>
    </row>
    <row r="222" spans="1:27" x14ac:dyDescent="0.3">
      <c r="A222" s="1">
        <v>480</v>
      </c>
      <c r="B222" s="1" t="s">
        <v>916</v>
      </c>
      <c r="C222" s="1" t="s">
        <v>47</v>
      </c>
      <c r="D222" s="1" t="s">
        <v>571</v>
      </c>
      <c r="E222" s="1" t="s">
        <v>28</v>
      </c>
      <c r="F222" s="1" t="s">
        <v>29</v>
      </c>
      <c r="G222" s="1" t="s">
        <v>30</v>
      </c>
      <c r="H222" s="1" t="s">
        <v>153</v>
      </c>
      <c r="I222" s="1">
        <v>100</v>
      </c>
      <c r="J222" s="1" t="s">
        <v>917</v>
      </c>
      <c r="K222" s="1" t="s">
        <v>155</v>
      </c>
      <c r="L222" s="1" t="s">
        <v>34</v>
      </c>
      <c r="M222" s="1" t="s">
        <v>34</v>
      </c>
      <c r="N222" s="3"/>
      <c r="O222" s="3"/>
      <c r="P222" s="4">
        <v>100</v>
      </c>
      <c r="Q222" s="4">
        <v>100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  <c r="Z222" t="e">
        <f>VLOOKUP(A222,[1]Worksheet!$A$1:$A$510,1,0)</f>
        <v>#N/A</v>
      </c>
      <c r="AA222">
        <f t="shared" si="3"/>
        <v>1</v>
      </c>
    </row>
    <row r="223" spans="1:27" x14ac:dyDescent="0.3">
      <c r="A223" s="1">
        <v>481</v>
      </c>
      <c r="B223" s="1" t="s">
        <v>918</v>
      </c>
      <c r="C223" s="1" t="s">
        <v>26</v>
      </c>
      <c r="D223" s="1" t="s">
        <v>896</v>
      </c>
      <c r="E223" s="1" t="s">
        <v>28</v>
      </c>
      <c r="F223" s="1" t="s">
        <v>29</v>
      </c>
      <c r="G223" s="1" t="s">
        <v>30</v>
      </c>
      <c r="H223" s="1" t="s">
        <v>153</v>
      </c>
      <c r="I223" s="1">
        <v>100</v>
      </c>
      <c r="J223" s="1" t="s">
        <v>919</v>
      </c>
      <c r="K223" s="1" t="s">
        <v>155</v>
      </c>
      <c r="L223" s="1" t="s">
        <v>34</v>
      </c>
      <c r="M223" s="1" t="s">
        <v>34</v>
      </c>
      <c r="N223" s="3" t="s">
        <v>59</v>
      </c>
      <c r="O223" s="4">
        <v>100</v>
      </c>
      <c r="P223" s="3" t="s">
        <v>59</v>
      </c>
      <c r="Q223" s="4">
        <v>100</v>
      </c>
      <c r="R223" s="3"/>
      <c r="S223" s="3"/>
      <c r="T223" s="3"/>
      <c r="U223" s="3"/>
      <c r="V223" s="3"/>
      <c r="W223" s="3"/>
      <c r="X223" s="3"/>
      <c r="Y223" s="3"/>
      <c r="Z223" t="e">
        <f>VLOOKUP(A223,[1]Worksheet!$A$1:$A$510,1,0)</f>
        <v>#N/A</v>
      </c>
      <c r="AA223">
        <f t="shared" si="3"/>
        <v>1</v>
      </c>
    </row>
    <row r="224" spans="1:27" x14ac:dyDescent="0.3">
      <c r="A224" s="1">
        <v>486</v>
      </c>
      <c r="B224" s="1" t="s">
        <v>931</v>
      </c>
      <c r="C224" s="1" t="s">
        <v>26</v>
      </c>
      <c r="D224" s="1" t="s">
        <v>83</v>
      </c>
      <c r="E224" s="1" t="s">
        <v>28</v>
      </c>
      <c r="F224" s="1" t="s">
        <v>29</v>
      </c>
      <c r="G224" s="1" t="s">
        <v>30</v>
      </c>
      <c r="H224" s="1" t="s">
        <v>31</v>
      </c>
      <c r="I224" s="1" t="s">
        <v>117</v>
      </c>
      <c r="J224" s="1" t="s">
        <v>932</v>
      </c>
      <c r="K224" s="1" t="s">
        <v>33</v>
      </c>
      <c r="L224" s="1" t="s">
        <v>33</v>
      </c>
      <c r="M224" s="1" t="s">
        <v>34</v>
      </c>
      <c r="N224" s="3"/>
      <c r="O224" s="8">
        <v>2890610</v>
      </c>
      <c r="P224" s="8">
        <v>2700000</v>
      </c>
      <c r="Q224" s="8">
        <v>4900000</v>
      </c>
      <c r="R224" s="3"/>
      <c r="S224" s="3"/>
      <c r="T224" s="3"/>
      <c r="U224" s="3"/>
      <c r="V224" s="3"/>
      <c r="W224" s="3"/>
      <c r="X224" s="3"/>
      <c r="Y224" s="3"/>
      <c r="Z224" t="e">
        <f>VLOOKUP(A224,[1]Worksheet!$A$1:$A$510,1,0)</f>
        <v>#N/A</v>
      </c>
      <c r="AA224">
        <f t="shared" si="3"/>
        <v>1</v>
      </c>
    </row>
    <row r="225" spans="1:27" x14ac:dyDescent="0.3">
      <c r="A225" s="1">
        <v>506</v>
      </c>
      <c r="B225" s="1" t="s">
        <v>968</v>
      </c>
      <c r="C225" s="1" t="s">
        <v>47</v>
      </c>
      <c r="D225" s="1" t="s">
        <v>511</v>
      </c>
      <c r="E225" s="1" t="s">
        <v>44</v>
      </c>
      <c r="F225" s="1" t="s">
        <v>29</v>
      </c>
      <c r="G225" s="1" t="s">
        <v>30</v>
      </c>
      <c r="H225" s="1" t="s">
        <v>31</v>
      </c>
      <c r="I225" s="1">
        <v>80</v>
      </c>
      <c r="J225" s="1" t="s">
        <v>969</v>
      </c>
      <c r="K225" s="1" t="s">
        <v>33</v>
      </c>
      <c r="L225" s="1" t="s">
        <v>33</v>
      </c>
      <c r="M225" s="1" t="s">
        <v>34</v>
      </c>
      <c r="N225" s="5">
        <v>92.5</v>
      </c>
      <c r="O225" s="5">
        <v>95</v>
      </c>
      <c r="P225" s="7">
        <v>67</v>
      </c>
      <c r="Q225" s="3"/>
      <c r="R225" s="3"/>
      <c r="S225" s="3"/>
      <c r="T225" s="3"/>
      <c r="U225" s="3"/>
      <c r="V225" s="3"/>
      <c r="W225" s="3"/>
      <c r="X225" s="3"/>
      <c r="Y225" s="3"/>
      <c r="Z225" t="e">
        <f>VLOOKUP(A225,[1]Worksheet!$A$1:$A$510,1,0)</f>
        <v>#N/A</v>
      </c>
      <c r="AA225">
        <f t="shared" si="3"/>
        <v>1</v>
      </c>
    </row>
    <row r="226" spans="1:27" x14ac:dyDescent="0.3">
      <c r="A226" s="1">
        <v>507</v>
      </c>
      <c r="B226" s="1" t="s">
        <v>970</v>
      </c>
      <c r="C226" s="1" t="s">
        <v>47</v>
      </c>
      <c r="D226" s="1" t="s">
        <v>422</v>
      </c>
      <c r="E226" s="1" t="s">
        <v>44</v>
      </c>
      <c r="F226" s="1" t="s">
        <v>29</v>
      </c>
      <c r="G226" s="1" t="s">
        <v>30</v>
      </c>
      <c r="H226" s="1" t="s">
        <v>31</v>
      </c>
      <c r="I226" s="1">
        <v>80</v>
      </c>
      <c r="J226" s="1" t="s">
        <v>971</v>
      </c>
      <c r="K226" s="1" t="s">
        <v>33</v>
      </c>
      <c r="L226" s="1" t="s">
        <v>33</v>
      </c>
      <c r="M226" s="1" t="s">
        <v>34</v>
      </c>
      <c r="N226" s="5">
        <v>99</v>
      </c>
      <c r="O226" s="5">
        <v>98.75</v>
      </c>
      <c r="P226" s="6">
        <v>77</v>
      </c>
      <c r="Q226" s="3"/>
      <c r="R226" s="3"/>
      <c r="S226" s="3"/>
      <c r="T226" s="3"/>
      <c r="U226" s="3"/>
      <c r="V226" s="3"/>
      <c r="W226" s="3"/>
      <c r="X226" s="3"/>
      <c r="Y226" s="3"/>
      <c r="Z226" t="e">
        <f>VLOOKUP(A226,[1]Worksheet!$A$1:$A$510,1,0)</f>
        <v>#N/A</v>
      </c>
      <c r="AA226">
        <f t="shared" si="3"/>
        <v>1</v>
      </c>
    </row>
    <row r="227" spans="1:27" x14ac:dyDescent="0.3">
      <c r="A227" s="1">
        <v>514</v>
      </c>
      <c r="B227" s="1" t="s">
        <v>1034</v>
      </c>
      <c r="C227" s="1" t="s">
        <v>26</v>
      </c>
      <c r="D227" s="1" t="s">
        <v>810</v>
      </c>
      <c r="E227" s="1" t="s">
        <v>28</v>
      </c>
      <c r="F227" s="1" t="s">
        <v>29</v>
      </c>
      <c r="G227" s="1" t="s">
        <v>30</v>
      </c>
      <c r="H227" s="1" t="s">
        <v>31</v>
      </c>
      <c r="I227" s="1">
        <v>70</v>
      </c>
      <c r="J227" s="1" t="s">
        <v>1035</v>
      </c>
      <c r="K227" s="1" t="s">
        <v>33</v>
      </c>
      <c r="L227" s="1" t="s">
        <v>33</v>
      </c>
      <c r="M227" s="1" t="s">
        <v>34</v>
      </c>
      <c r="N227" s="7">
        <v>45.96</v>
      </c>
      <c r="O227" s="5">
        <v>91.82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t="e">
        <f>VLOOKUP(A227,[1]Worksheet!$A$1:$A$510,1,0)</f>
        <v>#N/A</v>
      </c>
      <c r="AA227">
        <f t="shared" si="3"/>
        <v>1</v>
      </c>
    </row>
    <row r="228" spans="1:27" x14ac:dyDescent="0.3">
      <c r="A228" s="1">
        <v>515</v>
      </c>
      <c r="B228" s="1" t="s">
        <v>1036</v>
      </c>
      <c r="C228" s="1" t="s">
        <v>47</v>
      </c>
      <c r="D228" s="1" t="s">
        <v>48</v>
      </c>
      <c r="E228" s="1" t="s">
        <v>28</v>
      </c>
      <c r="F228" s="1" t="s">
        <v>29</v>
      </c>
      <c r="G228" s="1" t="s">
        <v>30</v>
      </c>
      <c r="H228" s="1" t="s">
        <v>31</v>
      </c>
      <c r="I228" s="1" t="s">
        <v>117</v>
      </c>
      <c r="J228" s="1" t="s">
        <v>1037</v>
      </c>
      <c r="K228" s="1" t="s">
        <v>33</v>
      </c>
      <c r="L228" s="1" t="s">
        <v>33</v>
      </c>
      <c r="M228" s="1" t="s">
        <v>34</v>
      </c>
      <c r="N228" s="8">
        <v>66.67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t="e">
        <f>VLOOKUP(A228,[1]Worksheet!$A$1:$A$510,1,0)</f>
        <v>#N/A</v>
      </c>
      <c r="AA228">
        <f t="shared" si="3"/>
        <v>1</v>
      </c>
    </row>
    <row r="229" spans="1:27" x14ac:dyDescent="0.3">
      <c r="A229" s="1">
        <v>516</v>
      </c>
      <c r="B229" s="1" t="s">
        <v>1038</v>
      </c>
      <c r="C229" s="1" t="s">
        <v>26</v>
      </c>
      <c r="D229" s="1" t="s">
        <v>48</v>
      </c>
      <c r="E229" s="1" t="s">
        <v>28</v>
      </c>
      <c r="F229" s="1" t="s">
        <v>29</v>
      </c>
      <c r="G229" s="1" t="s">
        <v>30</v>
      </c>
      <c r="H229" s="1" t="s">
        <v>31</v>
      </c>
      <c r="I229" s="1" t="s">
        <v>117</v>
      </c>
      <c r="J229" s="1" t="s">
        <v>1039</v>
      </c>
      <c r="K229" s="1" t="s">
        <v>33</v>
      </c>
      <c r="L229" s="1" t="s">
        <v>33</v>
      </c>
      <c r="M229" s="1" t="s">
        <v>34</v>
      </c>
      <c r="N229" s="8">
        <v>315.79000000000002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t="e">
        <f>VLOOKUP(A229,[1]Worksheet!$A$1:$A$510,1,0)</f>
        <v>#N/A</v>
      </c>
      <c r="AA229">
        <f t="shared" si="3"/>
        <v>1</v>
      </c>
    </row>
    <row r="230" spans="1:27" x14ac:dyDescent="0.3">
      <c r="A230" s="1">
        <v>519</v>
      </c>
      <c r="B230" s="1" t="s">
        <v>1042</v>
      </c>
      <c r="C230" s="1" t="s">
        <v>26</v>
      </c>
      <c r="D230" s="1" t="s">
        <v>605</v>
      </c>
      <c r="E230" s="1" t="s">
        <v>44</v>
      </c>
      <c r="F230" s="1" t="s">
        <v>29</v>
      </c>
      <c r="G230" s="1" t="s">
        <v>30</v>
      </c>
      <c r="H230" s="1" t="s">
        <v>153</v>
      </c>
      <c r="I230" s="1">
        <v>100</v>
      </c>
      <c r="J230" s="1" t="s">
        <v>1043</v>
      </c>
      <c r="K230" s="1" t="s">
        <v>186</v>
      </c>
      <c r="L230" s="1" t="s">
        <v>34</v>
      </c>
      <c r="M230" s="1" t="s">
        <v>34</v>
      </c>
      <c r="N230" s="5">
        <v>131.13</v>
      </c>
      <c r="O230" s="5">
        <v>431.45</v>
      </c>
      <c r="P230" s="3" t="s">
        <v>59</v>
      </c>
      <c r="Q230" s="3" t="s">
        <v>59</v>
      </c>
      <c r="R230" s="3" t="s">
        <v>59</v>
      </c>
      <c r="S230" s="3" t="s">
        <v>59</v>
      </c>
      <c r="T230" s="3" t="s">
        <v>59</v>
      </c>
      <c r="U230" s="3" t="s">
        <v>59</v>
      </c>
      <c r="V230" s="3" t="s">
        <v>59</v>
      </c>
      <c r="W230" s="3" t="s">
        <v>59</v>
      </c>
      <c r="X230" s="3" t="s">
        <v>59</v>
      </c>
      <c r="Y230" s="3" t="s">
        <v>59</v>
      </c>
      <c r="Z230" t="e">
        <f>VLOOKUP(A230,[1]Worksheet!$A$1:$A$510,1,0)</f>
        <v>#N/A</v>
      </c>
      <c r="AA230">
        <f t="shared" si="3"/>
        <v>1</v>
      </c>
    </row>
    <row r="231" spans="1:27" x14ac:dyDescent="0.3">
      <c r="A231" s="1">
        <v>523</v>
      </c>
      <c r="B231" s="1" t="s">
        <v>559</v>
      </c>
      <c r="C231" s="1" t="s">
        <v>47</v>
      </c>
      <c r="D231" s="1" t="s">
        <v>152</v>
      </c>
      <c r="E231" s="1" t="s">
        <v>28</v>
      </c>
      <c r="F231" s="1" t="s">
        <v>29</v>
      </c>
      <c r="G231" s="1" t="s">
        <v>30</v>
      </c>
      <c r="H231" s="1" t="s">
        <v>153</v>
      </c>
      <c r="I231" s="1">
        <v>95</v>
      </c>
      <c r="J231" s="1" t="s">
        <v>1049</v>
      </c>
      <c r="K231" s="1" t="s">
        <v>155</v>
      </c>
      <c r="L231" s="1" t="s">
        <v>34</v>
      </c>
      <c r="M231" s="1" t="s">
        <v>34</v>
      </c>
      <c r="N231" s="4">
        <v>95.82</v>
      </c>
      <c r="O231" s="5">
        <v>125.74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  <c r="Z231" t="e">
        <f>VLOOKUP(A231,[1]Worksheet!$A$1:$A$510,1,0)</f>
        <v>#N/A</v>
      </c>
      <c r="AA231">
        <f t="shared" si="3"/>
        <v>1</v>
      </c>
    </row>
    <row r="232" spans="1:27" x14ac:dyDescent="0.3">
      <c r="A232" s="1">
        <v>524</v>
      </c>
      <c r="B232" s="1" t="s">
        <v>1054</v>
      </c>
      <c r="C232" s="1" t="s">
        <v>26</v>
      </c>
      <c r="D232" s="1" t="s">
        <v>751</v>
      </c>
      <c r="E232" s="1" t="s">
        <v>28</v>
      </c>
      <c r="F232" s="1" t="s">
        <v>29</v>
      </c>
      <c r="G232" s="1" t="s">
        <v>30</v>
      </c>
      <c r="H232" s="1" t="s">
        <v>153</v>
      </c>
      <c r="I232" s="1">
        <v>100</v>
      </c>
      <c r="J232" s="1" t="s">
        <v>1055</v>
      </c>
      <c r="K232" s="1" t="s">
        <v>155</v>
      </c>
      <c r="L232" s="1" t="s">
        <v>34</v>
      </c>
      <c r="M232" s="1" t="s">
        <v>34</v>
      </c>
      <c r="N232" s="5">
        <v>106.07</v>
      </c>
      <c r="O232" s="6">
        <v>99.38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 t="s">
        <v>59</v>
      </c>
      <c r="Y232" s="3" t="s">
        <v>59</v>
      </c>
      <c r="Z232" t="e">
        <f>VLOOKUP(A232,[1]Worksheet!$A$1:$A$510,1,0)</f>
        <v>#N/A</v>
      </c>
      <c r="AA232">
        <f t="shared" si="3"/>
        <v>1</v>
      </c>
    </row>
    <row r="233" spans="1:27" x14ac:dyDescent="0.3">
      <c r="A233" s="1">
        <v>530</v>
      </c>
      <c r="B233" s="1" t="s">
        <v>1076</v>
      </c>
      <c r="C233" s="1" t="s">
        <v>47</v>
      </c>
      <c r="D233" s="1" t="s">
        <v>48</v>
      </c>
      <c r="E233" s="1" t="s">
        <v>28</v>
      </c>
      <c r="F233" s="1" t="s">
        <v>29</v>
      </c>
      <c r="G233" s="1" t="s">
        <v>30</v>
      </c>
      <c r="H233" s="1" t="s">
        <v>31</v>
      </c>
      <c r="I233" s="1">
        <v>90</v>
      </c>
      <c r="J233" s="1" t="s">
        <v>1077</v>
      </c>
      <c r="K233" s="1" t="s">
        <v>33</v>
      </c>
      <c r="L233" s="1" t="s">
        <v>33</v>
      </c>
      <c r="M233" s="1" t="s">
        <v>34</v>
      </c>
      <c r="N233" s="6">
        <v>85.56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t="e">
        <f>VLOOKUP(A233,[1]Worksheet!$A$1:$A$510,1,0)</f>
        <v>#N/A</v>
      </c>
      <c r="AA233">
        <f t="shared" si="3"/>
        <v>1</v>
      </c>
    </row>
    <row r="234" spans="1:27" x14ac:dyDescent="0.3">
      <c r="A234" s="1">
        <v>531</v>
      </c>
      <c r="B234" s="1" t="s">
        <v>1078</v>
      </c>
      <c r="C234" s="1" t="s">
        <v>47</v>
      </c>
      <c r="D234" s="1" t="s">
        <v>48</v>
      </c>
      <c r="E234" s="1" t="s">
        <v>40</v>
      </c>
      <c r="F234" s="1" t="s">
        <v>29</v>
      </c>
      <c r="G234" s="1" t="s">
        <v>30</v>
      </c>
      <c r="H234" s="1" t="s">
        <v>31</v>
      </c>
      <c r="I234" s="1">
        <v>90</v>
      </c>
      <c r="J234" s="1" t="s">
        <v>1079</v>
      </c>
      <c r="K234" s="1" t="s">
        <v>33</v>
      </c>
      <c r="L234" s="1" t="s">
        <v>33</v>
      </c>
      <c r="M234" s="1" t="s">
        <v>34</v>
      </c>
      <c r="N234" s="4">
        <v>93.94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t="e">
        <f>VLOOKUP(A234,[1]Worksheet!$A$1:$A$510,1,0)</f>
        <v>#N/A</v>
      </c>
      <c r="AA234">
        <f t="shared" si="3"/>
        <v>1</v>
      </c>
    </row>
    <row r="235" spans="1:27" x14ac:dyDescent="0.3">
      <c r="A235" s="1">
        <v>532</v>
      </c>
      <c r="B235" s="1" t="s">
        <v>1080</v>
      </c>
      <c r="C235" s="1" t="s">
        <v>47</v>
      </c>
      <c r="D235" s="1" t="s">
        <v>112</v>
      </c>
      <c r="E235" s="1" t="s">
        <v>40</v>
      </c>
      <c r="F235" s="1" t="s">
        <v>29</v>
      </c>
      <c r="G235" s="1" t="s">
        <v>30</v>
      </c>
      <c r="H235" s="1" t="s">
        <v>153</v>
      </c>
      <c r="I235" s="1">
        <v>100</v>
      </c>
      <c r="J235" s="1" t="s">
        <v>1081</v>
      </c>
      <c r="K235" s="1" t="s">
        <v>155</v>
      </c>
      <c r="L235" s="1" t="s">
        <v>34</v>
      </c>
      <c r="M235" s="1" t="s">
        <v>34</v>
      </c>
      <c r="N235" s="5">
        <v>134.78</v>
      </c>
      <c r="O235" s="5">
        <v>133.15</v>
      </c>
      <c r="P235" s="3"/>
      <c r="Q235" s="3"/>
      <c r="R235" s="3"/>
      <c r="S235" s="3"/>
      <c r="T235" s="3" t="s">
        <v>59</v>
      </c>
      <c r="U235" s="3" t="s">
        <v>59</v>
      </c>
      <c r="V235" s="3" t="s">
        <v>59</v>
      </c>
      <c r="W235" s="3" t="s">
        <v>59</v>
      </c>
      <c r="X235" s="3" t="s">
        <v>59</v>
      </c>
      <c r="Y235" s="3" t="s">
        <v>59</v>
      </c>
      <c r="Z235" t="e">
        <f>VLOOKUP(A235,[1]Worksheet!$A$1:$A$510,1,0)</f>
        <v>#N/A</v>
      </c>
      <c r="AA235">
        <f t="shared" si="3"/>
        <v>1</v>
      </c>
    </row>
    <row r="236" spans="1:27" x14ac:dyDescent="0.3">
      <c r="A236" s="1">
        <v>533</v>
      </c>
      <c r="B236" s="1" t="s">
        <v>1090</v>
      </c>
      <c r="C236" s="1" t="s">
        <v>47</v>
      </c>
      <c r="D236" s="1" t="s">
        <v>112</v>
      </c>
      <c r="E236" s="1" t="s">
        <v>28</v>
      </c>
      <c r="F236" s="1" t="s">
        <v>29</v>
      </c>
      <c r="G236" s="1" t="s">
        <v>30</v>
      </c>
      <c r="H236" s="1" t="s">
        <v>153</v>
      </c>
      <c r="I236" s="1">
        <v>100</v>
      </c>
      <c r="J236" s="1" t="s">
        <v>1091</v>
      </c>
      <c r="K236" s="1" t="s">
        <v>155</v>
      </c>
      <c r="L236" s="1" t="s">
        <v>34</v>
      </c>
      <c r="M236" s="1" t="s">
        <v>34</v>
      </c>
      <c r="N236" s="5">
        <v>177.95</v>
      </c>
      <c r="O236" s="5">
        <v>124.89</v>
      </c>
      <c r="P236" s="3" t="s">
        <v>59</v>
      </c>
      <c r="Q236" s="3" t="s">
        <v>59</v>
      </c>
      <c r="R236" s="3" t="s">
        <v>59</v>
      </c>
      <c r="S236" s="3" t="s">
        <v>59</v>
      </c>
      <c r="T236" s="3" t="s">
        <v>59</v>
      </c>
      <c r="U236" s="3" t="s">
        <v>59</v>
      </c>
      <c r="V236" s="3" t="s">
        <v>59</v>
      </c>
      <c r="W236" s="3" t="s">
        <v>59</v>
      </c>
      <c r="X236" s="3" t="s">
        <v>59</v>
      </c>
      <c r="Y236" s="3" t="s">
        <v>59</v>
      </c>
      <c r="Z236" t="e">
        <f>VLOOKUP(A236,[1]Worksheet!$A$1:$A$510,1,0)</f>
        <v>#N/A</v>
      </c>
      <c r="AA236">
        <f t="shared" si="3"/>
        <v>1</v>
      </c>
    </row>
    <row r="237" spans="1:27" x14ac:dyDescent="0.3">
      <c r="A237" s="1">
        <v>534</v>
      </c>
      <c r="B237" s="1" t="s">
        <v>1096</v>
      </c>
      <c r="C237" s="1" t="s">
        <v>47</v>
      </c>
      <c r="D237" s="1" t="s">
        <v>112</v>
      </c>
      <c r="E237" s="1" t="s">
        <v>28</v>
      </c>
      <c r="F237" s="1" t="s">
        <v>29</v>
      </c>
      <c r="G237" s="1" t="s">
        <v>30</v>
      </c>
      <c r="H237" s="1" t="s">
        <v>153</v>
      </c>
      <c r="I237" s="1">
        <v>100</v>
      </c>
      <c r="J237" s="1" t="s">
        <v>1097</v>
      </c>
      <c r="K237" s="1" t="s">
        <v>155</v>
      </c>
      <c r="L237" s="1" t="s">
        <v>34</v>
      </c>
      <c r="M237" s="1" t="s">
        <v>34</v>
      </c>
      <c r="N237" s="5">
        <v>134.53</v>
      </c>
      <c r="O237" s="5">
        <v>134.09</v>
      </c>
      <c r="P237" s="3" t="s">
        <v>59</v>
      </c>
      <c r="Q237" s="3" t="s">
        <v>59</v>
      </c>
      <c r="R237" s="3" t="s">
        <v>59</v>
      </c>
      <c r="S237" s="3" t="s">
        <v>59</v>
      </c>
      <c r="T237" s="3" t="s">
        <v>59</v>
      </c>
      <c r="U237" s="3" t="s">
        <v>59</v>
      </c>
      <c r="V237" s="3" t="s">
        <v>59</v>
      </c>
      <c r="W237" s="3" t="s">
        <v>59</v>
      </c>
      <c r="X237" s="3" t="s">
        <v>59</v>
      </c>
      <c r="Y237" s="3" t="s">
        <v>59</v>
      </c>
      <c r="Z237" t="e">
        <f>VLOOKUP(A237,[1]Worksheet!$A$1:$A$510,1,0)</f>
        <v>#N/A</v>
      </c>
      <c r="AA237">
        <f t="shared" si="3"/>
        <v>1</v>
      </c>
    </row>
    <row r="238" spans="1:27" x14ac:dyDescent="0.3">
      <c r="A238" s="1">
        <v>535</v>
      </c>
      <c r="B238" s="1" t="s">
        <v>1102</v>
      </c>
      <c r="C238" s="1" t="s">
        <v>47</v>
      </c>
      <c r="D238" s="1" t="s">
        <v>112</v>
      </c>
      <c r="E238" s="1" t="s">
        <v>28</v>
      </c>
      <c r="F238" s="1" t="s">
        <v>29</v>
      </c>
      <c r="G238" s="1" t="s">
        <v>30</v>
      </c>
      <c r="H238" s="1" t="s">
        <v>153</v>
      </c>
      <c r="I238" s="1">
        <v>100</v>
      </c>
      <c r="J238" s="1" t="s">
        <v>1103</v>
      </c>
      <c r="K238" s="1" t="s">
        <v>155</v>
      </c>
      <c r="L238" s="1" t="s">
        <v>34</v>
      </c>
      <c r="M238" s="1" t="s">
        <v>34</v>
      </c>
      <c r="N238" s="5">
        <v>209.63</v>
      </c>
      <c r="O238" s="5">
        <v>132.66999999999999</v>
      </c>
      <c r="P238" s="3" t="s">
        <v>59</v>
      </c>
      <c r="Q238" s="3" t="s">
        <v>59</v>
      </c>
      <c r="R238" s="3" t="s">
        <v>59</v>
      </c>
      <c r="S238" s="3" t="s">
        <v>59</v>
      </c>
      <c r="T238" s="3" t="s">
        <v>59</v>
      </c>
      <c r="U238" s="3" t="s">
        <v>59</v>
      </c>
      <c r="V238" s="3" t="s">
        <v>59</v>
      </c>
      <c r="W238" s="3" t="s">
        <v>59</v>
      </c>
      <c r="X238" s="3" t="s">
        <v>59</v>
      </c>
      <c r="Y238" s="3" t="s">
        <v>59</v>
      </c>
      <c r="Z238" t="e">
        <f>VLOOKUP(A238,[1]Worksheet!$A$1:$A$510,1,0)</f>
        <v>#N/A</v>
      </c>
      <c r="AA238">
        <f t="shared" si="3"/>
        <v>1</v>
      </c>
    </row>
    <row r="239" spans="1:27" x14ac:dyDescent="0.3">
      <c r="A239" s="1">
        <v>536</v>
      </c>
      <c r="B239" s="1" t="s">
        <v>1108</v>
      </c>
      <c r="C239" s="1" t="s">
        <v>47</v>
      </c>
      <c r="D239" s="1" t="s">
        <v>112</v>
      </c>
      <c r="E239" s="1" t="s">
        <v>28</v>
      </c>
      <c r="F239" s="1" t="s">
        <v>29</v>
      </c>
      <c r="G239" s="1" t="s">
        <v>30</v>
      </c>
      <c r="H239" s="1" t="s">
        <v>153</v>
      </c>
      <c r="I239" s="1">
        <v>100</v>
      </c>
      <c r="J239" s="1" t="s">
        <v>1109</v>
      </c>
      <c r="K239" s="1" t="s">
        <v>155</v>
      </c>
      <c r="L239" s="1" t="s">
        <v>34</v>
      </c>
      <c r="M239" s="1" t="s">
        <v>34</v>
      </c>
      <c r="N239" s="5">
        <v>260.75</v>
      </c>
      <c r="O239" s="5">
        <v>109.33</v>
      </c>
      <c r="P239" s="3" t="s">
        <v>59</v>
      </c>
      <c r="Q239" s="3" t="s">
        <v>59</v>
      </c>
      <c r="R239" s="3" t="s">
        <v>59</v>
      </c>
      <c r="S239" s="3" t="s">
        <v>59</v>
      </c>
      <c r="T239" s="3" t="s">
        <v>59</v>
      </c>
      <c r="U239" s="3" t="s">
        <v>59</v>
      </c>
      <c r="V239" s="3" t="s">
        <v>59</v>
      </c>
      <c r="W239" s="3" t="s">
        <v>59</v>
      </c>
      <c r="X239" s="3" t="s">
        <v>59</v>
      </c>
      <c r="Y239" s="3" t="s">
        <v>59</v>
      </c>
      <c r="Z239" t="e">
        <f>VLOOKUP(A239,[1]Worksheet!$A$1:$A$510,1,0)</f>
        <v>#N/A</v>
      </c>
      <c r="AA239">
        <f t="shared" si="3"/>
        <v>1</v>
      </c>
    </row>
    <row r="240" spans="1:27" x14ac:dyDescent="0.3">
      <c r="A240" s="1">
        <v>537</v>
      </c>
      <c r="B240" s="1" t="s">
        <v>1114</v>
      </c>
      <c r="C240" s="1" t="s">
        <v>47</v>
      </c>
      <c r="D240" s="1" t="s">
        <v>141</v>
      </c>
      <c r="E240" s="1" t="s">
        <v>28</v>
      </c>
      <c r="F240" s="1" t="s">
        <v>29</v>
      </c>
      <c r="G240" s="1" t="s">
        <v>30</v>
      </c>
      <c r="H240" s="1" t="s">
        <v>31</v>
      </c>
      <c r="I240" s="1">
        <v>65</v>
      </c>
      <c r="J240" s="1" t="s">
        <v>1115</v>
      </c>
      <c r="K240" s="1" t="s">
        <v>33</v>
      </c>
      <c r="L240" s="1" t="s">
        <v>33</v>
      </c>
      <c r="M240" s="1" t="s">
        <v>34</v>
      </c>
      <c r="N240" s="6">
        <v>64.3</v>
      </c>
      <c r="O240" s="6">
        <v>58.9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t="e">
        <f>VLOOKUP(A240,[1]Worksheet!$A$1:$A$510,1,0)</f>
        <v>#N/A</v>
      </c>
      <c r="AA240">
        <f t="shared" si="3"/>
        <v>1</v>
      </c>
    </row>
    <row r="241" spans="1:27" x14ac:dyDescent="0.3">
      <c r="A241" s="1">
        <v>538</v>
      </c>
      <c r="B241" s="1" t="s">
        <v>1116</v>
      </c>
      <c r="C241" s="1" t="s">
        <v>26</v>
      </c>
      <c r="D241" s="1" t="s">
        <v>295</v>
      </c>
      <c r="E241" s="1" t="s">
        <v>28</v>
      </c>
      <c r="F241" s="1" t="s">
        <v>29</v>
      </c>
      <c r="G241" s="1" t="s">
        <v>30</v>
      </c>
      <c r="H241" s="1" t="s">
        <v>31</v>
      </c>
      <c r="I241" s="1">
        <v>100</v>
      </c>
      <c r="J241" s="1" t="s">
        <v>1117</v>
      </c>
      <c r="K241" s="1" t="s">
        <v>33</v>
      </c>
      <c r="L241" s="1" t="s">
        <v>33</v>
      </c>
      <c r="M241" s="1" t="s">
        <v>34</v>
      </c>
      <c r="N241" s="4">
        <v>100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t="e">
        <f>VLOOKUP(A241,[1]Worksheet!$A$1:$A$510,1,0)</f>
        <v>#N/A</v>
      </c>
      <c r="AA241">
        <f t="shared" si="3"/>
        <v>1</v>
      </c>
    </row>
    <row r="242" spans="1:27" x14ac:dyDescent="0.3">
      <c r="A242" s="1">
        <v>539</v>
      </c>
      <c r="B242" s="1" t="s">
        <v>1118</v>
      </c>
      <c r="C242" s="1" t="s">
        <v>26</v>
      </c>
      <c r="D242" s="1" t="s">
        <v>295</v>
      </c>
      <c r="E242" s="1" t="s">
        <v>44</v>
      </c>
      <c r="F242" s="1" t="s">
        <v>29</v>
      </c>
      <c r="G242" s="1" t="s">
        <v>41</v>
      </c>
      <c r="H242" s="1" t="s">
        <v>31</v>
      </c>
      <c r="I242" s="1">
        <v>2.5</v>
      </c>
      <c r="J242" s="1" t="s">
        <v>1119</v>
      </c>
      <c r="K242" s="1" t="s">
        <v>33</v>
      </c>
      <c r="L242" s="1" t="s">
        <v>33</v>
      </c>
      <c r="M242" s="1" t="s">
        <v>34</v>
      </c>
      <c r="N242" s="4">
        <v>2.5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t="e">
        <f>VLOOKUP(A242,[1]Worksheet!$A$1:$A$510,1,0)</f>
        <v>#N/A</v>
      </c>
      <c r="AA242">
        <f t="shared" si="3"/>
        <v>1</v>
      </c>
    </row>
    <row r="243" spans="1:27" x14ac:dyDescent="0.3">
      <c r="A243" s="1">
        <v>540</v>
      </c>
      <c r="B243" s="1" t="s">
        <v>1120</v>
      </c>
      <c r="C243" s="1" t="s">
        <v>47</v>
      </c>
      <c r="D243" s="1" t="s">
        <v>954</v>
      </c>
      <c r="E243" s="1" t="s">
        <v>28</v>
      </c>
      <c r="F243" s="1" t="s">
        <v>29</v>
      </c>
      <c r="G243" s="1" t="s">
        <v>30</v>
      </c>
      <c r="H243" s="1" t="s">
        <v>31</v>
      </c>
      <c r="I243" s="1">
        <v>97</v>
      </c>
      <c r="J243" s="1" t="s">
        <v>1121</v>
      </c>
      <c r="K243" s="1" t="s">
        <v>33</v>
      </c>
      <c r="L243" s="1" t="s">
        <v>33</v>
      </c>
      <c r="M243" s="1" t="s">
        <v>34</v>
      </c>
      <c r="N243" s="4">
        <v>97.9</v>
      </c>
      <c r="O243" s="4">
        <v>97.33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t="e">
        <f>VLOOKUP(A243,[1]Worksheet!$A$1:$A$510,1,0)</f>
        <v>#N/A</v>
      </c>
      <c r="AA243">
        <f t="shared" si="3"/>
        <v>1</v>
      </c>
    </row>
    <row r="244" spans="1:27" x14ac:dyDescent="0.3">
      <c r="A244" s="1">
        <v>543</v>
      </c>
      <c r="B244" s="1" t="s">
        <v>1135</v>
      </c>
      <c r="C244" s="1" t="s">
        <v>26</v>
      </c>
      <c r="D244" s="1" t="s">
        <v>134</v>
      </c>
      <c r="E244" s="1" t="s">
        <v>28</v>
      </c>
      <c r="F244" s="1" t="s">
        <v>29</v>
      </c>
      <c r="G244" s="1" t="s">
        <v>30</v>
      </c>
      <c r="H244" s="1" t="s">
        <v>153</v>
      </c>
      <c r="I244" s="1" t="s">
        <v>117</v>
      </c>
      <c r="J244" s="1" t="s">
        <v>1136</v>
      </c>
      <c r="K244" s="1" t="s">
        <v>155</v>
      </c>
      <c r="L244" s="1" t="s">
        <v>34</v>
      </c>
      <c r="M244" s="1" t="s">
        <v>34</v>
      </c>
      <c r="N244" s="3"/>
      <c r="O244" s="8">
        <v>7.29</v>
      </c>
      <c r="P244" s="3" t="s">
        <v>59</v>
      </c>
      <c r="Q244" s="3" t="s">
        <v>59</v>
      </c>
      <c r="R244" s="3" t="s">
        <v>59</v>
      </c>
      <c r="S244" s="3" t="s">
        <v>59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  <c r="Z244" t="e">
        <f>VLOOKUP(A244,[1]Worksheet!$A$1:$A$510,1,0)</f>
        <v>#N/A</v>
      </c>
      <c r="AA244">
        <f t="shared" si="3"/>
        <v>1</v>
      </c>
    </row>
    <row r="245" spans="1:27" x14ac:dyDescent="0.3">
      <c r="A245" s="1">
        <v>544</v>
      </c>
      <c r="B245" s="1" t="s">
        <v>1141</v>
      </c>
      <c r="C245" s="1" t="s">
        <v>26</v>
      </c>
      <c r="D245" s="1" t="s">
        <v>620</v>
      </c>
      <c r="E245" s="1" t="s">
        <v>28</v>
      </c>
      <c r="F245" s="1" t="s">
        <v>29</v>
      </c>
      <c r="G245" s="1" t="s">
        <v>30</v>
      </c>
      <c r="H245" s="1" t="s">
        <v>153</v>
      </c>
      <c r="I245" s="1">
        <v>100</v>
      </c>
      <c r="J245" s="1" t="s">
        <v>1142</v>
      </c>
      <c r="K245" s="1" t="s">
        <v>186</v>
      </c>
      <c r="L245" s="1" t="s">
        <v>34</v>
      </c>
      <c r="M245" s="1" t="s">
        <v>34</v>
      </c>
      <c r="N245" s="5">
        <v>162.5</v>
      </c>
      <c r="O245" s="5">
        <v>250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/>
      <c r="V245" s="3" t="s">
        <v>59</v>
      </c>
      <c r="W245" s="3" t="s">
        <v>59</v>
      </c>
      <c r="X245" s="3" t="s">
        <v>59</v>
      </c>
      <c r="Y245" s="3" t="s">
        <v>59</v>
      </c>
      <c r="Z245" t="e">
        <f>VLOOKUP(A245,[1]Worksheet!$A$1:$A$510,1,0)</f>
        <v>#N/A</v>
      </c>
      <c r="AA245">
        <f t="shared" si="3"/>
        <v>1</v>
      </c>
    </row>
    <row r="246" spans="1:27" x14ac:dyDescent="0.3">
      <c r="A246" s="1">
        <v>550</v>
      </c>
      <c r="B246" s="1" t="s">
        <v>1155</v>
      </c>
      <c r="C246" s="1" t="s">
        <v>26</v>
      </c>
      <c r="D246" s="1" t="s">
        <v>613</v>
      </c>
      <c r="E246" s="1" t="s">
        <v>44</v>
      </c>
      <c r="F246" s="1" t="s">
        <v>29</v>
      </c>
      <c r="G246" s="1" t="s">
        <v>30</v>
      </c>
      <c r="H246" s="1" t="s">
        <v>31</v>
      </c>
      <c r="I246" s="1">
        <v>80</v>
      </c>
      <c r="J246" s="1" t="s">
        <v>1156</v>
      </c>
      <c r="K246" s="1" t="s">
        <v>33</v>
      </c>
      <c r="L246" s="1" t="s">
        <v>33</v>
      </c>
      <c r="M246" s="1" t="s">
        <v>34</v>
      </c>
      <c r="N246" s="5">
        <v>95.5</v>
      </c>
      <c r="O246" s="5">
        <v>95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t="e">
        <f>VLOOKUP(A246,[1]Worksheet!$A$1:$A$510,1,0)</f>
        <v>#N/A</v>
      </c>
      <c r="AA246">
        <f t="shared" si="3"/>
        <v>1</v>
      </c>
    </row>
    <row r="247" spans="1:27" x14ac:dyDescent="0.3">
      <c r="A247" s="1">
        <v>551</v>
      </c>
      <c r="B247" s="1" t="s">
        <v>1157</v>
      </c>
      <c r="C247" s="1" t="s">
        <v>26</v>
      </c>
      <c r="D247" s="1" t="s">
        <v>613</v>
      </c>
      <c r="E247" s="1" t="s">
        <v>28</v>
      </c>
      <c r="F247" s="1" t="s">
        <v>29</v>
      </c>
      <c r="G247" s="1" t="s">
        <v>30</v>
      </c>
      <c r="H247" s="1" t="s">
        <v>31</v>
      </c>
      <c r="I247" s="1">
        <v>4</v>
      </c>
      <c r="J247" s="1" t="s">
        <v>1158</v>
      </c>
      <c r="K247" s="1" t="s">
        <v>33</v>
      </c>
      <c r="L247" s="1" t="s">
        <v>33</v>
      </c>
      <c r="M247" s="1" t="s">
        <v>34</v>
      </c>
      <c r="N247" s="5">
        <v>5</v>
      </c>
      <c r="O247" s="5">
        <v>5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t="e">
        <f>VLOOKUP(A247,[1]Worksheet!$A$1:$A$510,1,0)</f>
        <v>#N/A</v>
      </c>
      <c r="AA247">
        <f t="shared" si="3"/>
        <v>1</v>
      </c>
    </row>
    <row r="248" spans="1:27" x14ac:dyDescent="0.3">
      <c r="A248" s="1">
        <v>554</v>
      </c>
      <c r="B248" s="1" t="s">
        <v>1163</v>
      </c>
      <c r="C248" s="1" t="s">
        <v>47</v>
      </c>
      <c r="D248" s="1" t="s">
        <v>292</v>
      </c>
      <c r="E248" s="1" t="s">
        <v>44</v>
      </c>
      <c r="F248" s="1" t="s">
        <v>29</v>
      </c>
      <c r="G248" s="1" t="s">
        <v>30</v>
      </c>
      <c r="H248" s="1" t="s">
        <v>31</v>
      </c>
      <c r="I248" s="1">
        <v>80</v>
      </c>
      <c r="J248" s="1" t="s">
        <v>1164</v>
      </c>
      <c r="K248" s="1" t="s">
        <v>33</v>
      </c>
      <c r="L248" s="1" t="s">
        <v>33</v>
      </c>
      <c r="M248" s="1" t="s">
        <v>34</v>
      </c>
      <c r="N248" s="5">
        <v>95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t="e">
        <f>VLOOKUP(A248,[1]Worksheet!$A$1:$A$510,1,0)</f>
        <v>#N/A</v>
      </c>
      <c r="AA248">
        <f t="shared" si="3"/>
        <v>1</v>
      </c>
    </row>
    <row r="249" spans="1:27" x14ac:dyDescent="0.3">
      <c r="A249" s="1">
        <v>555</v>
      </c>
      <c r="B249" s="1" t="s">
        <v>1165</v>
      </c>
      <c r="C249" s="1" t="s">
        <v>47</v>
      </c>
      <c r="D249" s="1" t="s">
        <v>560</v>
      </c>
      <c r="E249" s="1" t="s">
        <v>44</v>
      </c>
      <c r="F249" s="1" t="s">
        <v>29</v>
      </c>
      <c r="G249" s="1" t="s">
        <v>30</v>
      </c>
      <c r="H249" s="1" t="s">
        <v>31</v>
      </c>
      <c r="I249" s="1">
        <v>80</v>
      </c>
      <c r="J249" s="1" t="s">
        <v>1166</v>
      </c>
      <c r="K249" s="1" t="s">
        <v>33</v>
      </c>
      <c r="L249" s="1" t="s">
        <v>33</v>
      </c>
      <c r="M249" s="1" t="s">
        <v>34</v>
      </c>
      <c r="N249" s="5">
        <v>100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t="e">
        <f>VLOOKUP(A249,[1]Worksheet!$A$1:$A$510,1,0)</f>
        <v>#N/A</v>
      </c>
      <c r="AA249">
        <f t="shared" si="3"/>
        <v>1</v>
      </c>
    </row>
    <row r="250" spans="1:27" hidden="1" x14ac:dyDescent="0.3">
      <c r="A250" s="1">
        <v>69</v>
      </c>
      <c r="B250" s="1" t="s">
        <v>35</v>
      </c>
      <c r="C250" s="1" t="s">
        <v>26</v>
      </c>
      <c r="D250" s="1" t="s">
        <v>27</v>
      </c>
      <c r="E250" s="1" t="s">
        <v>28</v>
      </c>
      <c r="F250" s="1" t="s">
        <v>36</v>
      </c>
      <c r="G250" s="1" t="s">
        <v>30</v>
      </c>
      <c r="H250" s="1" t="s">
        <v>31</v>
      </c>
      <c r="I250" s="1">
        <v>90</v>
      </c>
      <c r="J250" s="1" t="s">
        <v>37</v>
      </c>
      <c r="K250" s="1" t="s">
        <v>33</v>
      </c>
      <c r="L250" s="1" t="s">
        <v>33</v>
      </c>
      <c r="M250" s="1" t="s">
        <v>34</v>
      </c>
      <c r="N250" s="4">
        <v>91.52</v>
      </c>
      <c r="O250" s="4">
        <v>90.14</v>
      </c>
      <c r="P250" s="4">
        <v>90.78</v>
      </c>
      <c r="Q250" s="4">
        <v>90.75</v>
      </c>
      <c r="R250" s="4">
        <v>90.5</v>
      </c>
      <c r="S250" s="4">
        <v>91.67</v>
      </c>
      <c r="T250" s="4">
        <v>91.33</v>
      </c>
      <c r="U250" s="4">
        <v>91.32</v>
      </c>
      <c r="V250" s="4">
        <v>92.79</v>
      </c>
      <c r="W250" s="4">
        <v>92.89</v>
      </c>
      <c r="X250" s="4">
        <v>90.397672162948993</v>
      </c>
      <c r="Y250" s="4">
        <v>90.541781450871994</v>
      </c>
      <c r="Z250">
        <f>VLOOKUP(A250,[1]Worksheet!$A$1:$A$510,1,0)</f>
        <v>69</v>
      </c>
      <c r="AA250">
        <f t="shared" si="3"/>
        <v>1</v>
      </c>
    </row>
    <row r="251" spans="1:27" hidden="1" x14ac:dyDescent="0.3">
      <c r="A251" s="1">
        <v>111</v>
      </c>
      <c r="B251" s="1" t="s">
        <v>82</v>
      </c>
      <c r="C251" s="1" t="s">
        <v>26</v>
      </c>
      <c r="D251" s="1" t="s">
        <v>27</v>
      </c>
      <c r="E251" s="1" t="s">
        <v>44</v>
      </c>
      <c r="F251" s="1" t="s">
        <v>36</v>
      </c>
      <c r="G251" s="1" t="s">
        <v>30</v>
      </c>
      <c r="H251" s="1" t="s">
        <v>31</v>
      </c>
      <c r="I251" s="1">
        <v>80</v>
      </c>
      <c r="J251" s="1" t="s">
        <v>85</v>
      </c>
      <c r="K251" s="1" t="s">
        <v>33</v>
      </c>
      <c r="L251" s="1" t="s">
        <v>33</v>
      </c>
      <c r="M251" s="1" t="s">
        <v>34</v>
      </c>
      <c r="N251" s="5">
        <v>96.6</v>
      </c>
      <c r="O251" s="5">
        <v>92.5</v>
      </c>
      <c r="P251" s="5">
        <v>100</v>
      </c>
      <c r="Q251" s="5">
        <v>92.7</v>
      </c>
      <c r="R251" s="5">
        <v>92</v>
      </c>
      <c r="S251" s="5">
        <v>86.7</v>
      </c>
      <c r="T251" s="5">
        <v>98</v>
      </c>
      <c r="U251" s="5">
        <v>94</v>
      </c>
      <c r="V251" s="5">
        <v>96</v>
      </c>
      <c r="W251" s="5">
        <v>93</v>
      </c>
      <c r="X251" s="5">
        <v>90</v>
      </c>
      <c r="Y251" s="5">
        <v>87</v>
      </c>
      <c r="Z251">
        <f>VLOOKUP(A251,[1]Worksheet!$A$1:$A$510,1,0)</f>
        <v>111</v>
      </c>
      <c r="AA251">
        <f t="shared" si="3"/>
        <v>1</v>
      </c>
    </row>
    <row r="252" spans="1:27" hidden="1" x14ac:dyDescent="0.3">
      <c r="A252" s="1">
        <v>197</v>
      </c>
      <c r="B252" s="1" t="s">
        <v>143</v>
      </c>
      <c r="C252" s="1" t="s">
        <v>47</v>
      </c>
      <c r="D252" s="1" t="s">
        <v>86</v>
      </c>
      <c r="E252" s="1" t="s">
        <v>28</v>
      </c>
      <c r="F252" s="1" t="s">
        <v>36</v>
      </c>
      <c r="G252" s="1" t="s">
        <v>30</v>
      </c>
      <c r="H252" s="1" t="s">
        <v>31</v>
      </c>
      <c r="I252" s="1">
        <v>97</v>
      </c>
      <c r="J252" s="1" t="s">
        <v>144</v>
      </c>
      <c r="K252" s="1" t="s">
        <v>33</v>
      </c>
      <c r="L252" s="1" t="s">
        <v>33</v>
      </c>
      <c r="M252" s="1" t="s">
        <v>34</v>
      </c>
      <c r="N252" s="4">
        <v>100</v>
      </c>
      <c r="O252" s="5">
        <v>104</v>
      </c>
      <c r="P252" s="6">
        <v>96.43</v>
      </c>
      <c r="Q252" s="4">
        <v>100</v>
      </c>
      <c r="R252" s="4">
        <v>100</v>
      </c>
      <c r="S252" s="4">
        <v>100</v>
      </c>
      <c r="T252" s="4">
        <v>100</v>
      </c>
      <c r="U252" s="4">
        <v>100</v>
      </c>
      <c r="V252" s="5">
        <v>100</v>
      </c>
      <c r="W252" s="5">
        <v>100</v>
      </c>
      <c r="X252" s="5">
        <v>100</v>
      </c>
      <c r="Y252" s="5">
        <v>100</v>
      </c>
      <c r="Z252">
        <f>VLOOKUP(A252,[1]Worksheet!$A$1:$A$510,1,0)</f>
        <v>197</v>
      </c>
      <c r="AA252">
        <f t="shared" si="3"/>
        <v>1</v>
      </c>
    </row>
    <row r="253" spans="1:27" hidden="1" x14ac:dyDescent="0.3">
      <c r="A253" s="1">
        <v>213</v>
      </c>
      <c r="B253" s="1" t="s">
        <v>184</v>
      </c>
      <c r="C253" s="1" t="s">
        <v>47</v>
      </c>
      <c r="D253" s="1" t="s">
        <v>93</v>
      </c>
      <c r="E253" s="1" t="s">
        <v>28</v>
      </c>
      <c r="F253" s="1" t="s">
        <v>36</v>
      </c>
      <c r="G253" s="1" t="s">
        <v>30</v>
      </c>
      <c r="H253" s="1" t="s">
        <v>153</v>
      </c>
      <c r="I253" s="1">
        <v>90</v>
      </c>
      <c r="J253" s="1" t="s">
        <v>185</v>
      </c>
      <c r="K253" s="1" t="s">
        <v>186</v>
      </c>
      <c r="L253" s="1" t="s">
        <v>34</v>
      </c>
      <c r="M253" s="1" t="s">
        <v>34</v>
      </c>
      <c r="N253" s="4">
        <v>100</v>
      </c>
      <c r="O253" s="4">
        <v>100</v>
      </c>
      <c r="P253" s="4">
        <v>94.63</v>
      </c>
      <c r="Q253" s="4">
        <v>100</v>
      </c>
      <c r="R253" s="4">
        <v>100</v>
      </c>
      <c r="S253" s="4">
        <v>97.79</v>
      </c>
      <c r="T253" s="4">
        <v>100</v>
      </c>
      <c r="U253" s="4">
        <v>100</v>
      </c>
      <c r="V253" s="4">
        <v>100</v>
      </c>
      <c r="W253" s="6">
        <v>86.4</v>
      </c>
      <c r="X253" s="4">
        <v>93.33</v>
      </c>
      <c r="Y253" s="4">
        <v>100</v>
      </c>
      <c r="Z253">
        <f>VLOOKUP(A253,[1]Worksheet!$A$1:$A$510,1,0)</f>
        <v>213</v>
      </c>
      <c r="AA253">
        <f t="shared" si="3"/>
        <v>1</v>
      </c>
    </row>
    <row r="254" spans="1:27" hidden="1" x14ac:dyDescent="0.3">
      <c r="A254" s="1">
        <v>233</v>
      </c>
      <c r="B254" s="1" t="s">
        <v>246</v>
      </c>
      <c r="C254" s="1" t="s">
        <v>26</v>
      </c>
      <c r="D254" s="1" t="s">
        <v>93</v>
      </c>
      <c r="E254" s="1" t="s">
        <v>28</v>
      </c>
      <c r="F254" s="1" t="s">
        <v>36</v>
      </c>
      <c r="G254" s="1" t="s">
        <v>30</v>
      </c>
      <c r="H254" s="1" t="s">
        <v>31</v>
      </c>
      <c r="I254" s="1">
        <v>20</v>
      </c>
      <c r="J254" s="1" t="s">
        <v>247</v>
      </c>
      <c r="K254" s="1" t="s">
        <v>33</v>
      </c>
      <c r="L254" s="1" t="s">
        <v>33</v>
      </c>
      <c r="M254" s="1" t="s">
        <v>34</v>
      </c>
      <c r="N254" s="3"/>
      <c r="O254" s="3" t="s">
        <v>59</v>
      </c>
      <c r="P254" s="6">
        <v>11.77</v>
      </c>
      <c r="Q254" s="5">
        <v>32.86</v>
      </c>
      <c r="R254" s="5">
        <v>31.821236559139791</v>
      </c>
      <c r="S254" s="3" t="s">
        <v>59</v>
      </c>
      <c r="T254" s="6">
        <v>18.566537063468068</v>
      </c>
      <c r="U254" s="5">
        <v>48.350694444444443</v>
      </c>
      <c r="V254" s="7">
        <v>9.6282754418037779</v>
      </c>
      <c r="W254" s="5">
        <v>27.41037918985376</v>
      </c>
      <c r="X254" s="5">
        <v>27.605832597150719</v>
      </c>
      <c r="Y254" s="5">
        <v>64.367816091954026</v>
      </c>
      <c r="Z254">
        <f>VLOOKUP(A254,[1]Worksheet!$A$1:$A$510,1,0)</f>
        <v>233</v>
      </c>
      <c r="AA254">
        <f t="shared" si="3"/>
        <v>1</v>
      </c>
    </row>
    <row r="255" spans="1:27" hidden="1" x14ac:dyDescent="0.3">
      <c r="A255" s="1">
        <v>234</v>
      </c>
      <c r="B255" s="1" t="s">
        <v>248</v>
      </c>
      <c r="C255" s="1" t="s">
        <v>26</v>
      </c>
      <c r="D255" s="1" t="s">
        <v>93</v>
      </c>
      <c r="E255" s="1" t="s">
        <v>28</v>
      </c>
      <c r="F255" s="1" t="s">
        <v>36</v>
      </c>
      <c r="G255" s="1" t="s">
        <v>30</v>
      </c>
      <c r="H255" s="1" t="s">
        <v>31</v>
      </c>
      <c r="I255" s="1">
        <v>4000</v>
      </c>
      <c r="J255" s="1" t="s">
        <v>249</v>
      </c>
      <c r="K255" s="1" t="s">
        <v>33</v>
      </c>
      <c r="L255" s="1" t="s">
        <v>33</v>
      </c>
      <c r="M255" s="1" t="s">
        <v>34</v>
      </c>
      <c r="N255" s="3"/>
      <c r="O255" s="3" t="s">
        <v>59</v>
      </c>
      <c r="P255" s="5">
        <v>14042.5</v>
      </c>
      <c r="Q255" s="5">
        <v>7112</v>
      </c>
      <c r="R255" s="4">
        <v>4218</v>
      </c>
      <c r="S255" s="3" t="s">
        <v>59</v>
      </c>
      <c r="T255" s="5">
        <v>5453.333333333333</v>
      </c>
      <c r="U255" s="7">
        <v>3234.25</v>
      </c>
      <c r="V255" s="5">
        <v>5893.5</v>
      </c>
      <c r="W255" s="5">
        <v>10713.75</v>
      </c>
      <c r="X255" s="5">
        <v>6843.5</v>
      </c>
      <c r="Y255" s="6">
        <v>3692.25</v>
      </c>
      <c r="Z255">
        <f>VLOOKUP(A255,[1]Worksheet!$A$1:$A$510,1,0)</f>
        <v>234</v>
      </c>
      <c r="AA255">
        <f t="shared" si="3"/>
        <v>1</v>
      </c>
    </row>
    <row r="256" spans="1:27" hidden="1" x14ac:dyDescent="0.3">
      <c r="A256" s="1">
        <v>238</v>
      </c>
      <c r="B256" s="1" t="s">
        <v>254</v>
      </c>
      <c r="C256" s="1" t="s">
        <v>47</v>
      </c>
      <c r="D256" s="1" t="s">
        <v>93</v>
      </c>
      <c r="E256" s="1" t="s">
        <v>28</v>
      </c>
      <c r="F256" s="1" t="s">
        <v>36</v>
      </c>
      <c r="G256" s="1" t="s">
        <v>30</v>
      </c>
      <c r="H256" s="1" t="s">
        <v>153</v>
      </c>
      <c r="I256" s="1">
        <v>90</v>
      </c>
      <c r="J256" s="1" t="s">
        <v>255</v>
      </c>
      <c r="K256" s="1" t="s">
        <v>155</v>
      </c>
      <c r="L256" s="1" t="s">
        <v>34</v>
      </c>
      <c r="M256" s="1" t="s">
        <v>34</v>
      </c>
      <c r="N256" s="3"/>
      <c r="O256" s="3"/>
      <c r="P256" s="4">
        <v>90.48</v>
      </c>
      <c r="Q256" s="4">
        <v>95.12</v>
      </c>
      <c r="R256" s="6">
        <v>80</v>
      </c>
      <c r="S256" s="6">
        <v>84.210526315789465</v>
      </c>
      <c r="T256" s="7">
        <v>78.125</v>
      </c>
      <c r="U256" s="7">
        <v>76.19047619047619</v>
      </c>
      <c r="V256" s="7">
        <v>75</v>
      </c>
      <c r="W256" s="6">
        <v>84.210526315789465</v>
      </c>
      <c r="X256" s="4">
        <v>96.428571428571431</v>
      </c>
      <c r="Y256" s="4">
        <v>94.444444444444443</v>
      </c>
      <c r="Z256">
        <f>VLOOKUP(A256,[1]Worksheet!$A$1:$A$510,1,0)</f>
        <v>238</v>
      </c>
      <c r="AA256">
        <f t="shared" si="3"/>
        <v>1</v>
      </c>
    </row>
    <row r="257" spans="1:27" hidden="1" x14ac:dyDescent="0.3">
      <c r="A257" s="1">
        <v>240</v>
      </c>
      <c r="B257" s="1" t="s">
        <v>285</v>
      </c>
      <c r="C257" s="1" t="s">
        <v>26</v>
      </c>
      <c r="D257" s="1" t="s">
        <v>273</v>
      </c>
      <c r="E257" s="1" t="s">
        <v>28</v>
      </c>
      <c r="F257" s="1" t="s">
        <v>36</v>
      </c>
      <c r="G257" s="1" t="s">
        <v>30</v>
      </c>
      <c r="H257" s="1" t="s">
        <v>31</v>
      </c>
      <c r="I257" s="1">
        <v>100</v>
      </c>
      <c r="J257" s="1" t="s">
        <v>286</v>
      </c>
      <c r="K257" s="1" t="s">
        <v>33</v>
      </c>
      <c r="L257" s="1" t="s">
        <v>33</v>
      </c>
      <c r="M257" s="1" t="s">
        <v>34</v>
      </c>
      <c r="N257" s="3"/>
      <c r="O257" s="4">
        <v>100</v>
      </c>
      <c r="P257" s="4">
        <v>100</v>
      </c>
      <c r="Q257" s="4">
        <v>100</v>
      </c>
      <c r="R257" s="4">
        <v>100</v>
      </c>
      <c r="S257" s="4">
        <v>100</v>
      </c>
      <c r="T257" s="4">
        <v>100</v>
      </c>
      <c r="U257" s="6">
        <v>91.666666666666657</v>
      </c>
      <c r="V257" s="6">
        <v>80</v>
      </c>
      <c r="W257" s="6">
        <v>80</v>
      </c>
      <c r="X257" s="7">
        <v>60</v>
      </c>
      <c r="Y257" s="7">
        <v>40</v>
      </c>
      <c r="Z257">
        <f>VLOOKUP(A257,[1]Worksheet!$A$1:$A$510,1,0)</f>
        <v>240</v>
      </c>
      <c r="AA257">
        <f t="shared" si="3"/>
        <v>1</v>
      </c>
    </row>
    <row r="258" spans="1:27" hidden="1" x14ac:dyDescent="0.3">
      <c r="A258" s="1">
        <v>251</v>
      </c>
      <c r="B258" s="1" t="s">
        <v>297</v>
      </c>
      <c r="C258" s="1" t="s">
        <v>47</v>
      </c>
      <c r="D258" s="1" t="s">
        <v>298</v>
      </c>
      <c r="E258" s="1" t="s">
        <v>28</v>
      </c>
      <c r="F258" s="1" t="s">
        <v>36</v>
      </c>
      <c r="G258" s="1" t="s">
        <v>30</v>
      </c>
      <c r="H258" s="1" t="s">
        <v>31</v>
      </c>
      <c r="I258" s="1">
        <v>100</v>
      </c>
      <c r="J258" s="1" t="s">
        <v>299</v>
      </c>
      <c r="K258" s="1" t="s">
        <v>33</v>
      </c>
      <c r="L258" s="1" t="s">
        <v>33</v>
      </c>
      <c r="M258" s="1" t="s">
        <v>34</v>
      </c>
      <c r="N258" s="4">
        <v>100</v>
      </c>
      <c r="O258" s="6">
        <v>96.08</v>
      </c>
      <c r="P258" s="6">
        <v>82.35</v>
      </c>
      <c r="Q258" s="3" t="s">
        <v>59</v>
      </c>
      <c r="R258" s="6">
        <v>96.226415094339629</v>
      </c>
      <c r="S258" s="6">
        <v>96.226415094339629</v>
      </c>
      <c r="T258" s="6">
        <v>92.452830188679243</v>
      </c>
      <c r="U258" s="3" t="s">
        <v>59</v>
      </c>
      <c r="V258" s="4">
        <v>100</v>
      </c>
      <c r="W258" s="4">
        <v>100</v>
      </c>
      <c r="X258" s="6">
        <v>93.877551020408163</v>
      </c>
      <c r="Y258" s="3"/>
      <c r="Z258">
        <f>VLOOKUP(A258,[1]Worksheet!$A$1:$A$510,1,0)</f>
        <v>251</v>
      </c>
      <c r="AA258">
        <f t="shared" ref="AA258:AA298" si="4">IF(A258=A257,0,1)</f>
        <v>1</v>
      </c>
    </row>
    <row r="259" spans="1:27" hidden="1" x14ac:dyDescent="0.3">
      <c r="A259" s="1">
        <v>254</v>
      </c>
      <c r="B259" s="1" t="s">
        <v>302</v>
      </c>
      <c r="C259" s="1" t="s">
        <v>47</v>
      </c>
      <c r="D259" s="1" t="s">
        <v>303</v>
      </c>
      <c r="E259" s="1" t="s">
        <v>28</v>
      </c>
      <c r="F259" s="1" t="s">
        <v>36</v>
      </c>
      <c r="G259" s="1" t="s">
        <v>30</v>
      </c>
      <c r="H259" s="1" t="s">
        <v>31</v>
      </c>
      <c r="I259" s="1">
        <v>100</v>
      </c>
      <c r="J259" s="1" t="s">
        <v>304</v>
      </c>
      <c r="K259" s="1" t="s">
        <v>33</v>
      </c>
      <c r="L259" s="1" t="s">
        <v>33</v>
      </c>
      <c r="M259" s="1" t="s">
        <v>34</v>
      </c>
      <c r="N259" s="4">
        <v>100</v>
      </c>
      <c r="O259" s="4">
        <v>100</v>
      </c>
      <c r="P259" s="4">
        <v>100</v>
      </c>
      <c r="Q259" s="4">
        <v>100</v>
      </c>
      <c r="R259" s="4">
        <v>100</v>
      </c>
      <c r="Z259">
        <f>VLOOKUP(A259,[1]Worksheet!$A$1:$A$510,1,0)</f>
        <v>254</v>
      </c>
      <c r="AA259">
        <f t="shared" si="4"/>
        <v>1</v>
      </c>
    </row>
    <row r="260" spans="1:27" hidden="1" x14ac:dyDescent="0.3">
      <c r="A260" s="1">
        <v>263</v>
      </c>
      <c r="B260" s="1" t="s">
        <v>329</v>
      </c>
      <c r="C260" s="1" t="s">
        <v>47</v>
      </c>
      <c r="D260" s="1" t="s">
        <v>327</v>
      </c>
      <c r="E260" s="1" t="s">
        <v>40</v>
      </c>
      <c r="F260" s="1" t="s">
        <v>36</v>
      </c>
      <c r="G260" s="1" t="s">
        <v>30</v>
      </c>
      <c r="H260" s="1" t="s">
        <v>31</v>
      </c>
      <c r="I260" s="1">
        <v>100</v>
      </c>
      <c r="J260" s="1" t="s">
        <v>330</v>
      </c>
      <c r="K260" s="1" t="s">
        <v>33</v>
      </c>
      <c r="L260" s="1" t="s">
        <v>33</v>
      </c>
      <c r="M260" s="1" t="s">
        <v>34</v>
      </c>
      <c r="N260" s="4">
        <v>100</v>
      </c>
      <c r="O260" s="4">
        <v>100</v>
      </c>
      <c r="P260" s="4">
        <v>100</v>
      </c>
      <c r="Q260" s="4">
        <v>100</v>
      </c>
      <c r="R260" s="4">
        <v>100</v>
      </c>
      <c r="S260" s="4">
        <v>100</v>
      </c>
      <c r="T260" s="4">
        <v>100</v>
      </c>
      <c r="U260" s="4">
        <v>100</v>
      </c>
      <c r="V260" s="4">
        <v>100</v>
      </c>
      <c r="W260" s="4">
        <v>100</v>
      </c>
      <c r="X260" s="4">
        <v>100</v>
      </c>
      <c r="Y260" s="4">
        <v>100</v>
      </c>
      <c r="Z260">
        <f>VLOOKUP(A260,[1]Worksheet!$A$1:$A$510,1,0)</f>
        <v>263</v>
      </c>
      <c r="AA260">
        <f t="shared" si="4"/>
        <v>1</v>
      </c>
    </row>
    <row r="261" spans="1:27" hidden="1" x14ac:dyDescent="0.3">
      <c r="A261" s="1">
        <v>265</v>
      </c>
      <c r="B261" s="1" t="s">
        <v>331</v>
      </c>
      <c r="C261" s="1" t="s">
        <v>47</v>
      </c>
      <c r="D261" s="1" t="s">
        <v>327</v>
      </c>
      <c r="E261" s="1" t="s">
        <v>40</v>
      </c>
      <c r="F261" s="1" t="s">
        <v>36</v>
      </c>
      <c r="G261" s="1" t="s">
        <v>30</v>
      </c>
      <c r="H261" s="1" t="s">
        <v>31</v>
      </c>
      <c r="I261" s="1">
        <v>95</v>
      </c>
      <c r="J261" s="1" t="s">
        <v>332</v>
      </c>
      <c r="K261" s="1" t="s">
        <v>33</v>
      </c>
      <c r="L261" s="1" t="s">
        <v>33</v>
      </c>
      <c r="M261" s="1" t="s">
        <v>34</v>
      </c>
      <c r="N261" s="4">
        <v>100</v>
      </c>
      <c r="O261" s="4">
        <v>100</v>
      </c>
      <c r="P261" s="4">
        <v>100</v>
      </c>
      <c r="Q261" s="3" t="s">
        <v>59</v>
      </c>
      <c r="R261" s="4">
        <v>100</v>
      </c>
      <c r="S261" s="3" t="s">
        <v>59</v>
      </c>
      <c r="T261" s="4">
        <v>100</v>
      </c>
      <c r="U261" s="3" t="s">
        <v>59</v>
      </c>
      <c r="V261" s="6">
        <v>97.13</v>
      </c>
      <c r="W261" s="3" t="s">
        <v>59</v>
      </c>
      <c r="X261" s="6">
        <v>80</v>
      </c>
      <c r="Y261" s="3" t="s">
        <v>59</v>
      </c>
      <c r="Z261">
        <f>VLOOKUP(A261,[1]Worksheet!$A$1:$A$510,1,0)</f>
        <v>265</v>
      </c>
      <c r="AA261">
        <f t="shared" si="4"/>
        <v>1</v>
      </c>
    </row>
    <row r="262" spans="1:27" hidden="1" x14ac:dyDescent="0.3">
      <c r="A262" s="1">
        <v>266</v>
      </c>
      <c r="B262" s="1" t="s">
        <v>333</v>
      </c>
      <c r="C262" s="1" t="s">
        <v>47</v>
      </c>
      <c r="D262" s="1" t="s">
        <v>327</v>
      </c>
      <c r="E262" s="1" t="s">
        <v>40</v>
      </c>
      <c r="F262" s="1" t="s">
        <v>36</v>
      </c>
      <c r="G262" s="1" t="s">
        <v>30</v>
      </c>
      <c r="H262" s="1" t="s">
        <v>31</v>
      </c>
      <c r="I262" s="1">
        <v>95</v>
      </c>
      <c r="J262" s="1" t="s">
        <v>334</v>
      </c>
      <c r="K262" s="1" t="s">
        <v>33</v>
      </c>
      <c r="L262" s="1" t="s">
        <v>33</v>
      </c>
      <c r="M262" s="1" t="s">
        <v>34</v>
      </c>
      <c r="N262" s="4">
        <v>96.2</v>
      </c>
      <c r="O262" s="6">
        <v>80</v>
      </c>
      <c r="P262" s="7">
        <v>53.15</v>
      </c>
      <c r="Q262" s="3" t="s">
        <v>59</v>
      </c>
      <c r="R262" s="6">
        <v>81.93</v>
      </c>
      <c r="S262" s="3" t="s">
        <v>59</v>
      </c>
      <c r="T262" s="4">
        <v>95.02</v>
      </c>
      <c r="U262" s="3" t="s">
        <v>59</v>
      </c>
      <c r="V262" s="4">
        <v>97.07</v>
      </c>
      <c r="W262" s="3" t="s">
        <v>59</v>
      </c>
      <c r="X262" s="6">
        <v>89.907038512615998</v>
      </c>
      <c r="Y262" s="3" t="s">
        <v>59</v>
      </c>
      <c r="Z262">
        <f>VLOOKUP(A262,[1]Worksheet!$A$1:$A$510,1,0)</f>
        <v>266</v>
      </c>
      <c r="AA262">
        <f t="shared" si="4"/>
        <v>1</v>
      </c>
    </row>
    <row r="263" spans="1:27" hidden="1" x14ac:dyDescent="0.3">
      <c r="A263" s="1">
        <v>300</v>
      </c>
      <c r="B263" s="1" t="s">
        <v>428</v>
      </c>
      <c r="C263" s="1" t="s">
        <v>26</v>
      </c>
      <c r="D263" s="1" t="s">
        <v>429</v>
      </c>
      <c r="E263" s="1" t="s">
        <v>28</v>
      </c>
      <c r="F263" s="1" t="s">
        <v>36</v>
      </c>
      <c r="G263" s="1" t="s">
        <v>30</v>
      </c>
      <c r="H263" s="1" t="s">
        <v>31</v>
      </c>
      <c r="I263" s="1">
        <v>100</v>
      </c>
      <c r="J263" s="1" t="s">
        <v>430</v>
      </c>
      <c r="K263" s="1" t="s">
        <v>33</v>
      </c>
      <c r="L263" s="1" t="s">
        <v>33</v>
      </c>
      <c r="M263" s="1" t="s">
        <v>34</v>
      </c>
      <c r="N263" s="4">
        <v>100</v>
      </c>
      <c r="O263" s="4">
        <v>100</v>
      </c>
      <c r="P263" s="4">
        <v>100</v>
      </c>
      <c r="Q263" s="4">
        <v>100</v>
      </c>
      <c r="R263" s="4">
        <v>100</v>
      </c>
      <c r="S263" s="4">
        <v>100</v>
      </c>
      <c r="T263" s="4">
        <v>100</v>
      </c>
      <c r="U263" s="4">
        <v>100</v>
      </c>
      <c r="V263" s="4">
        <v>100</v>
      </c>
      <c r="W263" s="4">
        <v>100</v>
      </c>
      <c r="X263" s="4">
        <v>100</v>
      </c>
      <c r="Y263" s="4">
        <v>100</v>
      </c>
      <c r="Z263">
        <f>VLOOKUP(A263,[1]Worksheet!$A$1:$A$510,1,0)</f>
        <v>300</v>
      </c>
      <c r="AA263">
        <f t="shared" si="4"/>
        <v>1</v>
      </c>
    </row>
    <row r="264" spans="1:27" hidden="1" x14ac:dyDescent="0.3">
      <c r="A264" s="1">
        <v>301</v>
      </c>
      <c r="B264" s="1" t="s">
        <v>431</v>
      </c>
      <c r="C264" s="1" t="s">
        <v>26</v>
      </c>
      <c r="D264" s="1" t="s">
        <v>429</v>
      </c>
      <c r="E264" s="1" t="s">
        <v>28</v>
      </c>
      <c r="F264" s="1" t="s">
        <v>36</v>
      </c>
      <c r="G264" s="1" t="s">
        <v>30</v>
      </c>
      <c r="H264" s="1" t="s">
        <v>31</v>
      </c>
      <c r="I264" s="1">
        <v>100</v>
      </c>
      <c r="J264" s="1" t="s">
        <v>432</v>
      </c>
      <c r="K264" s="1" t="s">
        <v>33</v>
      </c>
      <c r="L264" s="1" t="s">
        <v>33</v>
      </c>
      <c r="M264" s="1" t="s">
        <v>34</v>
      </c>
      <c r="N264" s="4">
        <v>100</v>
      </c>
      <c r="O264" s="4">
        <v>100</v>
      </c>
      <c r="P264" s="4">
        <v>100</v>
      </c>
      <c r="Q264" s="4">
        <v>100</v>
      </c>
      <c r="R264" s="4">
        <v>100</v>
      </c>
      <c r="S264" s="4">
        <v>100</v>
      </c>
      <c r="T264" s="4">
        <v>100</v>
      </c>
      <c r="U264" s="4">
        <v>100</v>
      </c>
      <c r="V264" s="4">
        <v>100</v>
      </c>
      <c r="W264" s="4">
        <v>100</v>
      </c>
      <c r="X264" s="4">
        <v>100</v>
      </c>
      <c r="Y264" s="4">
        <v>100</v>
      </c>
      <c r="Z264">
        <f>VLOOKUP(A264,[1]Worksheet!$A$1:$A$510,1,0)</f>
        <v>301</v>
      </c>
      <c r="AA264">
        <f t="shared" si="4"/>
        <v>1</v>
      </c>
    </row>
    <row r="265" spans="1:27" hidden="1" x14ac:dyDescent="0.3">
      <c r="A265" s="1">
        <v>306</v>
      </c>
      <c r="B265" s="1" t="s">
        <v>448</v>
      </c>
      <c r="C265" s="1" t="s">
        <v>47</v>
      </c>
      <c r="D265" s="1" t="s">
        <v>298</v>
      </c>
      <c r="E265" s="1" t="s">
        <v>28</v>
      </c>
      <c r="F265" s="1" t="s">
        <v>36</v>
      </c>
      <c r="G265" s="1" t="s">
        <v>30</v>
      </c>
      <c r="H265" s="1" t="s">
        <v>153</v>
      </c>
      <c r="I265" s="1">
        <v>100</v>
      </c>
      <c r="J265" s="1" t="s">
        <v>449</v>
      </c>
      <c r="K265" s="1" t="s">
        <v>186</v>
      </c>
      <c r="L265" s="1" t="s">
        <v>34</v>
      </c>
      <c r="M265" s="1" t="s">
        <v>34</v>
      </c>
      <c r="N265" s="3"/>
      <c r="O265" s="5">
        <v>105.83</v>
      </c>
      <c r="P265" s="5">
        <v>108.67</v>
      </c>
      <c r="Q265" s="3" t="s">
        <v>59</v>
      </c>
      <c r="R265" s="4">
        <v>101</v>
      </c>
      <c r="S265" s="7">
        <v>0</v>
      </c>
      <c r="T265" s="5">
        <v>601</v>
      </c>
      <c r="U265" s="7">
        <v>0</v>
      </c>
      <c r="V265" s="5">
        <v>626</v>
      </c>
      <c r="W265" s="7">
        <v>0</v>
      </c>
      <c r="X265" s="7">
        <v>0</v>
      </c>
      <c r="Y265" s="3">
        <v>0</v>
      </c>
      <c r="Z265">
        <f>VLOOKUP(A265,[1]Worksheet!$A$1:$A$510,1,0)</f>
        <v>306</v>
      </c>
      <c r="AA265">
        <f t="shared" si="4"/>
        <v>1</v>
      </c>
    </row>
    <row r="266" spans="1:27" hidden="1" x14ac:dyDescent="0.3">
      <c r="A266" s="1">
        <v>347</v>
      </c>
      <c r="B266" s="1" t="s">
        <v>494</v>
      </c>
      <c r="C266" s="1" t="s">
        <v>26</v>
      </c>
      <c r="D266" s="1" t="s">
        <v>495</v>
      </c>
      <c r="E266" s="1" t="s">
        <v>28</v>
      </c>
      <c r="F266" s="1" t="s">
        <v>36</v>
      </c>
      <c r="G266" s="1" t="s">
        <v>41</v>
      </c>
      <c r="H266" s="1" t="s">
        <v>31</v>
      </c>
      <c r="I266" s="1">
        <v>5</v>
      </c>
      <c r="J266" s="1" t="s">
        <v>496</v>
      </c>
      <c r="K266" s="1" t="s">
        <v>33</v>
      </c>
      <c r="L266" s="1" t="s">
        <v>33</v>
      </c>
      <c r="M266" s="1" t="s">
        <v>34</v>
      </c>
      <c r="N266" s="5">
        <v>1</v>
      </c>
      <c r="O266" s="6">
        <v>6</v>
      </c>
      <c r="P266" s="5">
        <v>1</v>
      </c>
      <c r="Q266" s="5">
        <v>1</v>
      </c>
      <c r="R266" s="5">
        <v>0</v>
      </c>
      <c r="S266" s="5">
        <v>0</v>
      </c>
      <c r="T266" s="4">
        <v>3</v>
      </c>
      <c r="U266" s="5">
        <v>0</v>
      </c>
      <c r="V266" s="6">
        <v>2</v>
      </c>
      <c r="W266" s="6">
        <v>12</v>
      </c>
      <c r="X266" s="6">
        <v>8</v>
      </c>
      <c r="Y266" s="6">
        <v>5</v>
      </c>
      <c r="Z266">
        <f>VLOOKUP(A266,[1]Worksheet!$A$1:$A$510,1,0)</f>
        <v>347</v>
      </c>
      <c r="AA266">
        <f t="shared" si="4"/>
        <v>1</v>
      </c>
    </row>
    <row r="267" spans="1:27" hidden="1" x14ac:dyDescent="0.3">
      <c r="A267" s="1">
        <v>348</v>
      </c>
      <c r="B267" s="1" t="s">
        <v>497</v>
      </c>
      <c r="C267" s="1" t="s">
        <v>26</v>
      </c>
      <c r="D267" s="1" t="s">
        <v>495</v>
      </c>
      <c r="E267" s="1" t="s">
        <v>28</v>
      </c>
      <c r="F267" s="1" t="s">
        <v>36</v>
      </c>
      <c r="G267" s="1" t="s">
        <v>30</v>
      </c>
      <c r="H267" s="1" t="s">
        <v>31</v>
      </c>
      <c r="I267" s="1">
        <v>99</v>
      </c>
      <c r="J267" s="1" t="s">
        <v>498</v>
      </c>
      <c r="K267" s="1" t="s">
        <v>33</v>
      </c>
      <c r="L267" s="1" t="s">
        <v>33</v>
      </c>
      <c r="M267" s="1" t="s">
        <v>34</v>
      </c>
      <c r="N267" s="4">
        <v>100</v>
      </c>
      <c r="O267" s="4">
        <v>100</v>
      </c>
      <c r="P267" s="4">
        <v>100</v>
      </c>
      <c r="Q267" s="4">
        <v>100</v>
      </c>
      <c r="R267" s="4">
        <v>100</v>
      </c>
      <c r="S267" s="4">
        <v>100</v>
      </c>
      <c r="T267" s="4">
        <v>99.9</v>
      </c>
      <c r="U267" s="4">
        <v>99.95</v>
      </c>
      <c r="V267" s="4">
        <v>100</v>
      </c>
      <c r="W267" s="4">
        <v>100</v>
      </c>
      <c r="X267" s="4">
        <v>99.699248120300993</v>
      </c>
      <c r="Y267" s="4">
        <v>99.936143039591002</v>
      </c>
      <c r="Z267">
        <f>VLOOKUP(A267,[1]Worksheet!$A$1:$A$510,1,0)</f>
        <v>348</v>
      </c>
      <c r="AA267">
        <f t="shared" si="4"/>
        <v>1</v>
      </c>
    </row>
    <row r="268" spans="1:27" hidden="1" x14ac:dyDescent="0.3">
      <c r="A268" s="1">
        <v>351</v>
      </c>
      <c r="B268" s="1" t="s">
        <v>499</v>
      </c>
      <c r="C268" s="1" t="s">
        <v>26</v>
      </c>
      <c r="D268" s="1" t="s">
        <v>495</v>
      </c>
      <c r="E268" s="1" t="s">
        <v>28</v>
      </c>
      <c r="F268" s="1" t="s">
        <v>36</v>
      </c>
      <c r="G268" s="1" t="s">
        <v>41</v>
      </c>
      <c r="H268" s="1" t="s">
        <v>31</v>
      </c>
      <c r="I268" s="1">
        <v>5</v>
      </c>
      <c r="J268" s="1" t="s">
        <v>500</v>
      </c>
      <c r="K268" s="1" t="s">
        <v>33</v>
      </c>
      <c r="L268" s="1" t="s">
        <v>33</v>
      </c>
      <c r="M268" s="1" t="s">
        <v>34</v>
      </c>
      <c r="N268" s="3"/>
      <c r="O268" s="4">
        <v>0.26</v>
      </c>
      <c r="P268" s="4">
        <v>0.65</v>
      </c>
      <c r="Q268" s="4">
        <v>0.47</v>
      </c>
      <c r="R268" s="4">
        <v>1.497983483771846</v>
      </c>
      <c r="S268" s="4">
        <v>3.1795721695362609</v>
      </c>
      <c r="T268" s="6">
        <v>12.52996115381436</v>
      </c>
      <c r="U268" s="4">
        <v>4.999240813847555</v>
      </c>
      <c r="V268" s="4">
        <v>3.5442828816920029</v>
      </c>
      <c r="W268" s="6">
        <v>10.29796131730267</v>
      </c>
      <c r="X268" s="6">
        <v>8.2333989618757837</v>
      </c>
      <c r="Y268" s="6">
        <v>11.41868512110727</v>
      </c>
      <c r="Z268">
        <f>VLOOKUP(A268,[1]Worksheet!$A$1:$A$510,1,0)</f>
        <v>351</v>
      </c>
      <c r="AA268">
        <f t="shared" si="4"/>
        <v>1</v>
      </c>
    </row>
    <row r="269" spans="1:27" hidden="1" x14ac:dyDescent="0.3">
      <c r="A269" s="1">
        <v>352</v>
      </c>
      <c r="B269" s="1" t="s">
        <v>501</v>
      </c>
      <c r="C269" s="1" t="s">
        <v>26</v>
      </c>
      <c r="D269" s="1" t="s">
        <v>495</v>
      </c>
      <c r="E269" s="1" t="s">
        <v>28</v>
      </c>
      <c r="F269" s="1" t="s">
        <v>36</v>
      </c>
      <c r="G269" s="1" t="s">
        <v>41</v>
      </c>
      <c r="H269" s="1" t="s">
        <v>31</v>
      </c>
      <c r="I269" s="1">
        <v>0</v>
      </c>
      <c r="J269" s="1" t="s">
        <v>502</v>
      </c>
      <c r="K269" s="1" t="s">
        <v>33</v>
      </c>
      <c r="L269" s="1" t="s">
        <v>33</v>
      </c>
      <c r="M269" s="1" t="s">
        <v>34</v>
      </c>
      <c r="N269" s="3"/>
      <c r="O269" s="4">
        <v>0.01</v>
      </c>
      <c r="P269" s="4">
        <v>0.01</v>
      </c>
      <c r="Q269" s="4">
        <v>0</v>
      </c>
      <c r="R269" s="4">
        <v>0</v>
      </c>
      <c r="S269" s="6">
        <v>9.6518574999758695E-4</v>
      </c>
      <c r="T269" s="6">
        <v>0.14879897966413941</v>
      </c>
      <c r="U269" s="6">
        <v>2.4404380586315239E-2</v>
      </c>
      <c r="V269" s="6">
        <v>0.28327481646983721</v>
      </c>
      <c r="W269" s="6">
        <v>2.5117345096623288E-2</v>
      </c>
      <c r="X269" s="6">
        <v>2.7700831024930751E-2</v>
      </c>
      <c r="Y269" s="6">
        <v>1.0385968556480199E-2</v>
      </c>
      <c r="Z269">
        <f>VLOOKUP(A269,[1]Worksheet!$A$1:$A$510,1,0)</f>
        <v>352</v>
      </c>
      <c r="AA269">
        <f t="shared" si="4"/>
        <v>1</v>
      </c>
    </row>
    <row r="270" spans="1:27" hidden="1" x14ac:dyDescent="0.3">
      <c r="A270" s="1">
        <v>368</v>
      </c>
      <c r="B270" s="1" t="s">
        <v>529</v>
      </c>
      <c r="C270" s="1" t="s">
        <v>26</v>
      </c>
      <c r="D270" s="1" t="s">
        <v>530</v>
      </c>
      <c r="E270" s="1" t="s">
        <v>44</v>
      </c>
      <c r="F270" s="1" t="s">
        <v>36</v>
      </c>
      <c r="G270" s="1" t="s">
        <v>30</v>
      </c>
      <c r="H270" s="1" t="s">
        <v>31</v>
      </c>
      <c r="I270" s="1">
        <v>93</v>
      </c>
      <c r="J270" s="1" t="s">
        <v>531</v>
      </c>
      <c r="K270" s="1" t="s">
        <v>33</v>
      </c>
      <c r="L270" s="1" t="s">
        <v>33</v>
      </c>
      <c r="M270" s="1" t="s">
        <v>34</v>
      </c>
      <c r="N270" s="4">
        <v>95</v>
      </c>
      <c r="O270" s="4">
        <v>95</v>
      </c>
      <c r="P270" s="4">
        <v>96</v>
      </c>
      <c r="Q270" s="4">
        <v>94</v>
      </c>
      <c r="R270" s="4">
        <v>94</v>
      </c>
      <c r="S270" s="4">
        <v>94</v>
      </c>
      <c r="T270" s="4">
        <v>95</v>
      </c>
      <c r="U270" s="4">
        <v>94</v>
      </c>
      <c r="V270" s="4">
        <v>94</v>
      </c>
      <c r="W270" s="4">
        <v>95</v>
      </c>
      <c r="X270" s="3"/>
      <c r="Y270" s="3"/>
      <c r="Z270">
        <f>VLOOKUP(A270,[1]Worksheet!$A$1:$A$510,1,0)</f>
        <v>368</v>
      </c>
      <c r="AA270">
        <f t="shared" si="4"/>
        <v>1</v>
      </c>
    </row>
    <row r="271" spans="1:27" hidden="1" x14ac:dyDescent="0.3">
      <c r="A271" s="1">
        <v>372</v>
      </c>
      <c r="B271" s="1" t="s">
        <v>538</v>
      </c>
      <c r="C271" s="1" t="s">
        <v>26</v>
      </c>
      <c r="D271" s="1" t="s">
        <v>530</v>
      </c>
      <c r="E271" s="1" t="s">
        <v>44</v>
      </c>
      <c r="F271" s="1" t="s">
        <v>36</v>
      </c>
      <c r="G271" s="1" t="s">
        <v>30</v>
      </c>
      <c r="H271" s="1" t="s">
        <v>31</v>
      </c>
      <c r="I271" s="1">
        <v>90</v>
      </c>
      <c r="J271" s="1" t="s">
        <v>539</v>
      </c>
      <c r="K271" s="1" t="s">
        <v>33</v>
      </c>
      <c r="L271" s="1" t="s">
        <v>33</v>
      </c>
      <c r="M271" s="1" t="s">
        <v>34</v>
      </c>
      <c r="N271" s="5">
        <v>97</v>
      </c>
      <c r="O271" s="5">
        <v>97</v>
      </c>
      <c r="P271" s="4">
        <v>90</v>
      </c>
      <c r="Q271" s="5">
        <v>98</v>
      </c>
      <c r="R271" s="5">
        <v>93</v>
      </c>
      <c r="S271" s="4">
        <v>91</v>
      </c>
      <c r="T271" s="4">
        <v>90</v>
      </c>
      <c r="U271" s="5">
        <v>93</v>
      </c>
      <c r="V271" s="5">
        <v>95</v>
      </c>
      <c r="W271" s="5">
        <v>96</v>
      </c>
      <c r="X271" s="3"/>
      <c r="Y271" s="3"/>
      <c r="Z271">
        <f>VLOOKUP(A271,[1]Worksheet!$A$1:$A$510,1,0)</f>
        <v>372</v>
      </c>
      <c r="AA271">
        <f t="shared" si="4"/>
        <v>1</v>
      </c>
    </row>
    <row r="272" spans="1:27" hidden="1" x14ac:dyDescent="0.3">
      <c r="A272" s="1">
        <v>373</v>
      </c>
      <c r="B272" s="1" t="s">
        <v>540</v>
      </c>
      <c r="C272" s="1" t="s">
        <v>47</v>
      </c>
      <c r="D272" s="1" t="s">
        <v>303</v>
      </c>
      <c r="E272" s="1" t="s">
        <v>28</v>
      </c>
      <c r="F272" s="1" t="s">
        <v>36</v>
      </c>
      <c r="G272" s="1" t="s">
        <v>30</v>
      </c>
      <c r="H272" s="1" t="s">
        <v>153</v>
      </c>
      <c r="I272" s="1">
        <v>100</v>
      </c>
      <c r="J272" s="1" t="s">
        <v>541</v>
      </c>
      <c r="K272" s="1" t="s">
        <v>186</v>
      </c>
      <c r="L272" s="1" t="s">
        <v>34</v>
      </c>
      <c r="M272" s="1" t="s">
        <v>34</v>
      </c>
      <c r="N272" s="4">
        <v>99.33</v>
      </c>
      <c r="O272" s="4">
        <v>96.32</v>
      </c>
      <c r="P272" s="5">
        <v>101.75</v>
      </c>
      <c r="Q272" s="5">
        <v>107.46</v>
      </c>
      <c r="R272" s="4">
        <v>98.67</v>
      </c>
      <c r="S272" s="4">
        <v>99.61</v>
      </c>
      <c r="T272" s="5">
        <v>106.8</v>
      </c>
      <c r="U272" s="6">
        <v>89.02</v>
      </c>
      <c r="V272" s="4">
        <v>97.166666666666998</v>
      </c>
      <c r="W272" s="6">
        <v>91.508333333332999</v>
      </c>
      <c r="X272" s="5">
        <v>107.17166666667001</v>
      </c>
      <c r="Y272" s="3">
        <v>0</v>
      </c>
      <c r="Z272">
        <f>VLOOKUP(A272,[1]Worksheet!$A$1:$A$510,1,0)</f>
        <v>373</v>
      </c>
      <c r="AA272">
        <f t="shared" si="4"/>
        <v>1</v>
      </c>
    </row>
    <row r="273" spans="1:27" hidden="1" x14ac:dyDescent="0.3">
      <c r="A273" s="1">
        <v>390</v>
      </c>
      <c r="B273" s="1" t="s">
        <v>597</v>
      </c>
      <c r="C273" s="1" t="s">
        <v>47</v>
      </c>
      <c r="D273" s="1" t="s">
        <v>303</v>
      </c>
      <c r="E273" s="1" t="s">
        <v>28</v>
      </c>
      <c r="F273" s="1" t="s">
        <v>36</v>
      </c>
      <c r="G273" s="1" t="s">
        <v>30</v>
      </c>
      <c r="H273" s="1" t="s">
        <v>153</v>
      </c>
      <c r="I273" s="1">
        <v>100</v>
      </c>
      <c r="J273" s="1" t="s">
        <v>598</v>
      </c>
      <c r="K273" s="1" t="s">
        <v>186</v>
      </c>
      <c r="L273" s="1" t="s">
        <v>34</v>
      </c>
      <c r="M273" s="1" t="s">
        <v>34</v>
      </c>
      <c r="N273" s="6">
        <v>99.78</v>
      </c>
      <c r="O273" s="5">
        <v>101.17</v>
      </c>
      <c r="P273" s="5">
        <v>103.55</v>
      </c>
      <c r="Q273" s="5">
        <v>140.57</v>
      </c>
      <c r="R273" s="6">
        <v>99.92</v>
      </c>
      <c r="S273" s="6">
        <v>83.32</v>
      </c>
      <c r="T273" s="5">
        <v>110.59</v>
      </c>
      <c r="U273" s="5">
        <v>168.53</v>
      </c>
      <c r="V273" s="6">
        <v>99.249166666666994</v>
      </c>
      <c r="W273" s="6">
        <v>95.344166666666993</v>
      </c>
      <c r="X273" s="5">
        <v>110.38416666667</v>
      </c>
      <c r="Y273" s="3">
        <v>0</v>
      </c>
      <c r="Z273">
        <f>VLOOKUP(A273,[1]Worksheet!$A$1:$A$510,1,0)</f>
        <v>390</v>
      </c>
      <c r="AA273">
        <f t="shared" si="4"/>
        <v>1</v>
      </c>
    </row>
    <row r="274" spans="1:27" hidden="1" x14ac:dyDescent="0.3">
      <c r="A274" s="1">
        <v>394</v>
      </c>
      <c r="B274" s="1" t="s">
        <v>604</v>
      </c>
      <c r="C274" s="1" t="s">
        <v>47</v>
      </c>
      <c r="D274" s="1" t="s">
        <v>605</v>
      </c>
      <c r="E274" s="1" t="s">
        <v>28</v>
      </c>
      <c r="F274" s="1" t="s">
        <v>36</v>
      </c>
      <c r="G274" s="1" t="s">
        <v>30</v>
      </c>
      <c r="H274" s="1" t="s">
        <v>31</v>
      </c>
      <c r="I274" s="1">
        <v>100</v>
      </c>
      <c r="J274" s="1" t="s">
        <v>606</v>
      </c>
      <c r="K274" s="1" t="s">
        <v>33</v>
      </c>
      <c r="L274" s="1" t="s">
        <v>33</v>
      </c>
      <c r="M274" s="1" t="s">
        <v>34</v>
      </c>
      <c r="N274" s="5">
        <v>137.5</v>
      </c>
      <c r="O274" s="6">
        <v>91.71</v>
      </c>
      <c r="P274" s="6">
        <v>96.86</v>
      </c>
      <c r="Q274" s="5">
        <v>227.5</v>
      </c>
      <c r="R274" s="5">
        <v>192</v>
      </c>
      <c r="S274" s="3" t="s">
        <v>59</v>
      </c>
      <c r="T274" s="5">
        <v>118.6</v>
      </c>
      <c r="U274" s="3" t="s">
        <v>59</v>
      </c>
      <c r="V274" s="5">
        <v>349.71</v>
      </c>
      <c r="W274" s="3" t="s">
        <v>59</v>
      </c>
      <c r="X274" s="5">
        <v>275.42857142857002</v>
      </c>
      <c r="Y274" s="3" t="s">
        <v>59</v>
      </c>
      <c r="Z274">
        <f>VLOOKUP(A274,[1]Worksheet!$A$1:$A$510,1,0)</f>
        <v>394</v>
      </c>
      <c r="AA274">
        <f t="shared" si="4"/>
        <v>1</v>
      </c>
    </row>
    <row r="275" spans="1:27" hidden="1" x14ac:dyDescent="0.3">
      <c r="A275" s="1">
        <v>395</v>
      </c>
      <c r="B275" s="1" t="s">
        <v>607</v>
      </c>
      <c r="C275" s="1" t="s">
        <v>26</v>
      </c>
      <c r="D275" s="1" t="s">
        <v>605</v>
      </c>
      <c r="E275" s="1" t="s">
        <v>28</v>
      </c>
      <c r="F275" s="1" t="s">
        <v>36</v>
      </c>
      <c r="G275" s="1" t="s">
        <v>30</v>
      </c>
      <c r="H275" s="1" t="s">
        <v>31</v>
      </c>
      <c r="I275" s="1">
        <v>100</v>
      </c>
      <c r="J275" s="1" t="s">
        <v>608</v>
      </c>
      <c r="K275" s="1" t="s">
        <v>33</v>
      </c>
      <c r="L275" s="1" t="s">
        <v>33</v>
      </c>
      <c r="M275" s="1" t="s">
        <v>34</v>
      </c>
      <c r="N275" s="5">
        <v>177.14</v>
      </c>
      <c r="O275" s="5">
        <v>187.27</v>
      </c>
      <c r="P275" s="5">
        <v>161.82</v>
      </c>
      <c r="Q275" s="5">
        <v>291.43</v>
      </c>
      <c r="R275" s="5">
        <v>148.88999999999999</v>
      </c>
      <c r="S275" s="3" t="s">
        <v>59</v>
      </c>
      <c r="T275" s="5">
        <v>110</v>
      </c>
      <c r="U275" s="3" t="s">
        <v>59</v>
      </c>
      <c r="V275" s="5">
        <v>266.67</v>
      </c>
      <c r="W275" s="3"/>
      <c r="X275" s="5">
        <v>294.11764705882001</v>
      </c>
      <c r="Y275" s="3" t="s">
        <v>59</v>
      </c>
      <c r="Z275">
        <f>VLOOKUP(A275,[1]Worksheet!$A$1:$A$510,1,0)</f>
        <v>395</v>
      </c>
      <c r="AA275">
        <f t="shared" si="4"/>
        <v>1</v>
      </c>
    </row>
    <row r="276" spans="1:27" hidden="1" x14ac:dyDescent="0.3">
      <c r="A276" s="1">
        <v>409</v>
      </c>
      <c r="B276" s="1" t="s">
        <v>634</v>
      </c>
      <c r="C276" s="1" t="s">
        <v>26</v>
      </c>
      <c r="D276" s="1" t="s">
        <v>327</v>
      </c>
      <c r="E276" s="1" t="s">
        <v>40</v>
      </c>
      <c r="F276" s="1" t="s">
        <v>36</v>
      </c>
      <c r="G276" s="1" t="s">
        <v>30</v>
      </c>
      <c r="H276" s="1" t="s">
        <v>153</v>
      </c>
      <c r="I276" s="1">
        <v>95</v>
      </c>
      <c r="J276" s="1" t="s">
        <v>635</v>
      </c>
      <c r="K276" s="1" t="s">
        <v>155</v>
      </c>
      <c r="L276" s="1" t="s">
        <v>34</v>
      </c>
      <c r="M276" s="1" t="s">
        <v>34</v>
      </c>
      <c r="N276" s="3"/>
      <c r="O276" s="3"/>
      <c r="P276" s="3"/>
      <c r="Q276" s="4">
        <v>100</v>
      </c>
      <c r="R276" s="4">
        <v>96.457326892109492</v>
      </c>
      <c r="S276" s="4">
        <v>97.122302158273371</v>
      </c>
      <c r="T276" s="4">
        <v>98.496240601503757</v>
      </c>
      <c r="U276" s="4">
        <v>98.022598870056498</v>
      </c>
      <c r="V276" s="5">
        <v>100</v>
      </c>
      <c r="W276" s="5">
        <v>103.71885459278541</v>
      </c>
      <c r="X276" s="3" t="s">
        <v>59</v>
      </c>
      <c r="Y276" s="3" t="s">
        <v>59</v>
      </c>
      <c r="Z276">
        <f>VLOOKUP(A276,[1]Worksheet!$A$1:$A$510,1,0)</f>
        <v>409</v>
      </c>
      <c r="AA276">
        <f t="shared" si="4"/>
        <v>1</v>
      </c>
    </row>
    <row r="277" spans="1:27" hidden="1" x14ac:dyDescent="0.3">
      <c r="A277" s="1">
        <v>414</v>
      </c>
      <c r="B277" s="1" t="s">
        <v>642</v>
      </c>
      <c r="C277" s="1" t="s">
        <v>47</v>
      </c>
      <c r="D277" s="1" t="s">
        <v>303</v>
      </c>
      <c r="E277" s="1" t="s">
        <v>28</v>
      </c>
      <c r="F277" s="1" t="s">
        <v>36</v>
      </c>
      <c r="G277" s="1" t="s">
        <v>30</v>
      </c>
      <c r="H277" s="1" t="s">
        <v>153</v>
      </c>
      <c r="I277" s="1">
        <v>100</v>
      </c>
      <c r="J277" s="1" t="s">
        <v>643</v>
      </c>
      <c r="K277" s="1" t="s">
        <v>186</v>
      </c>
      <c r="L277" s="1" t="s">
        <v>34</v>
      </c>
      <c r="M277" s="1" t="s">
        <v>34</v>
      </c>
      <c r="N277" s="6">
        <v>98.87</v>
      </c>
      <c r="O277" s="6">
        <v>93.6</v>
      </c>
      <c r="P277" s="5">
        <v>108.55</v>
      </c>
      <c r="Q277" s="5">
        <v>110.79</v>
      </c>
      <c r="R277" s="6">
        <v>98.78</v>
      </c>
      <c r="S277" s="6">
        <v>99.38</v>
      </c>
      <c r="T277" s="4">
        <v>100.06</v>
      </c>
      <c r="U277" s="6">
        <v>99.3</v>
      </c>
      <c r="V277" s="6">
        <v>96.28</v>
      </c>
      <c r="W277" s="6">
        <v>93.54</v>
      </c>
      <c r="X277" s="5">
        <v>110.01</v>
      </c>
      <c r="Y277" s="3">
        <v>0</v>
      </c>
      <c r="Z277">
        <f>VLOOKUP(A277,[1]Worksheet!$A$1:$A$510,1,0)</f>
        <v>414</v>
      </c>
      <c r="AA277">
        <f t="shared" si="4"/>
        <v>1</v>
      </c>
    </row>
    <row r="278" spans="1:27" hidden="1" x14ac:dyDescent="0.3">
      <c r="A278" s="1">
        <v>415</v>
      </c>
      <c r="B278" s="1" t="s">
        <v>662</v>
      </c>
      <c r="C278" s="1" t="s">
        <v>47</v>
      </c>
      <c r="D278" s="1" t="s">
        <v>303</v>
      </c>
      <c r="E278" s="1" t="s">
        <v>28</v>
      </c>
      <c r="F278" s="1" t="s">
        <v>36</v>
      </c>
      <c r="G278" s="1" t="s">
        <v>30</v>
      </c>
      <c r="H278" s="1" t="s">
        <v>153</v>
      </c>
      <c r="I278" s="1">
        <v>100</v>
      </c>
      <c r="J278" s="1" t="s">
        <v>663</v>
      </c>
      <c r="K278" s="1" t="s">
        <v>186</v>
      </c>
      <c r="L278" s="1" t="s">
        <v>34</v>
      </c>
      <c r="M278" s="1" t="s">
        <v>34</v>
      </c>
      <c r="N278" s="6">
        <v>99.3</v>
      </c>
      <c r="O278" s="6">
        <v>95.56</v>
      </c>
      <c r="P278" s="6">
        <v>96.44</v>
      </c>
      <c r="Q278" s="5">
        <v>104.76</v>
      </c>
      <c r="R278" s="6">
        <v>98.36</v>
      </c>
      <c r="S278" s="6">
        <v>92.46</v>
      </c>
      <c r="T278" s="6">
        <v>93.04</v>
      </c>
      <c r="U278" s="6">
        <v>80.790000000000006</v>
      </c>
      <c r="V278" s="6">
        <v>96</v>
      </c>
      <c r="W278" s="6">
        <v>93.94</v>
      </c>
      <c r="X278" s="6">
        <v>94.04</v>
      </c>
      <c r="Y278" s="3">
        <v>0</v>
      </c>
      <c r="Z278">
        <f>VLOOKUP(A278,[1]Worksheet!$A$1:$A$510,1,0)</f>
        <v>415</v>
      </c>
      <c r="AA278">
        <f t="shared" si="4"/>
        <v>1</v>
      </c>
    </row>
    <row r="279" spans="1:27" hidden="1" x14ac:dyDescent="0.3">
      <c r="A279" s="1">
        <v>416</v>
      </c>
      <c r="B279" s="1" t="s">
        <v>692</v>
      </c>
      <c r="C279" s="1" t="s">
        <v>47</v>
      </c>
      <c r="D279" s="1" t="s">
        <v>303</v>
      </c>
      <c r="E279" s="1" t="s">
        <v>28</v>
      </c>
      <c r="F279" s="1" t="s">
        <v>36</v>
      </c>
      <c r="G279" s="1" t="s">
        <v>30</v>
      </c>
      <c r="H279" s="1" t="s">
        <v>153</v>
      </c>
      <c r="I279" s="1">
        <v>100</v>
      </c>
      <c r="J279" s="1" t="s">
        <v>693</v>
      </c>
      <c r="K279" s="1" t="s">
        <v>186</v>
      </c>
      <c r="L279" s="1" t="s">
        <v>34</v>
      </c>
      <c r="M279" s="1" t="s">
        <v>34</v>
      </c>
      <c r="N279" s="4">
        <v>100</v>
      </c>
      <c r="O279" s="6">
        <v>96.48</v>
      </c>
      <c r="P279" s="5">
        <v>109.24</v>
      </c>
      <c r="Q279" s="5">
        <v>170.92</v>
      </c>
      <c r="R279" s="4">
        <v>100</v>
      </c>
      <c r="S279" s="6">
        <v>99.81</v>
      </c>
      <c r="T279" s="5">
        <v>117.1</v>
      </c>
      <c r="U279" s="5">
        <v>120.07</v>
      </c>
      <c r="V279" s="6">
        <v>98</v>
      </c>
      <c r="W279" s="6">
        <v>87.94</v>
      </c>
      <c r="X279" s="6">
        <v>95.74</v>
      </c>
      <c r="Y279" s="3">
        <v>0</v>
      </c>
      <c r="Z279">
        <f>VLOOKUP(A279,[1]Worksheet!$A$1:$A$510,1,0)</f>
        <v>416</v>
      </c>
      <c r="AA279">
        <f t="shared" si="4"/>
        <v>1</v>
      </c>
    </row>
    <row r="280" spans="1:27" hidden="1" x14ac:dyDescent="0.3">
      <c r="A280" s="1">
        <v>417</v>
      </c>
      <c r="B280" s="1" t="s">
        <v>706</v>
      </c>
      <c r="C280" s="1" t="s">
        <v>47</v>
      </c>
      <c r="D280" s="1" t="s">
        <v>303</v>
      </c>
      <c r="E280" s="1" t="s">
        <v>28</v>
      </c>
      <c r="F280" s="1" t="s">
        <v>36</v>
      </c>
      <c r="G280" s="1" t="s">
        <v>30</v>
      </c>
      <c r="H280" s="1" t="s">
        <v>153</v>
      </c>
      <c r="I280" s="1">
        <v>100</v>
      </c>
      <c r="J280" s="1" t="s">
        <v>707</v>
      </c>
      <c r="K280" s="1" t="s">
        <v>186</v>
      </c>
      <c r="L280" s="1" t="s">
        <v>34</v>
      </c>
      <c r="M280" s="1" t="s">
        <v>34</v>
      </c>
      <c r="N280" s="6">
        <v>97.99</v>
      </c>
      <c r="O280" s="6">
        <v>99.34</v>
      </c>
      <c r="P280" s="5">
        <v>101.28</v>
      </c>
      <c r="Q280" s="6">
        <v>93.68</v>
      </c>
      <c r="R280" s="6">
        <v>98.83</v>
      </c>
      <c r="S280" s="4">
        <v>100.19</v>
      </c>
      <c r="T280" s="5">
        <v>112.12</v>
      </c>
      <c r="U280" s="6">
        <v>99.01</v>
      </c>
      <c r="V280" s="6">
        <v>94.39</v>
      </c>
      <c r="W280" s="6">
        <v>93.756666666667002</v>
      </c>
      <c r="X280" s="5">
        <v>110.66833333333</v>
      </c>
      <c r="Y280" s="3">
        <v>0</v>
      </c>
      <c r="Z280">
        <f>VLOOKUP(A280,[1]Worksheet!$A$1:$A$510,1,0)</f>
        <v>417</v>
      </c>
      <c r="AA280">
        <f t="shared" si="4"/>
        <v>1</v>
      </c>
    </row>
    <row r="281" spans="1:27" hidden="1" x14ac:dyDescent="0.3">
      <c r="A281" s="1">
        <v>418</v>
      </c>
      <c r="B281" s="1" t="s">
        <v>720</v>
      </c>
      <c r="C281" s="1" t="s">
        <v>47</v>
      </c>
      <c r="D281" s="1" t="s">
        <v>303</v>
      </c>
      <c r="E281" s="1" t="s">
        <v>28</v>
      </c>
      <c r="F281" s="1" t="s">
        <v>36</v>
      </c>
      <c r="G281" s="1" t="s">
        <v>30</v>
      </c>
      <c r="H281" s="1" t="s">
        <v>153</v>
      </c>
      <c r="I281" s="1">
        <v>100</v>
      </c>
      <c r="J281" s="1" t="s">
        <v>721</v>
      </c>
      <c r="K281" s="1" t="s">
        <v>186</v>
      </c>
      <c r="L281" s="1" t="s">
        <v>34</v>
      </c>
      <c r="M281" s="1" t="s">
        <v>34</v>
      </c>
      <c r="N281" s="6">
        <v>99.61</v>
      </c>
      <c r="O281" s="6">
        <v>93.96</v>
      </c>
      <c r="P281" s="5">
        <v>105.83</v>
      </c>
      <c r="Q281" s="5">
        <v>246.7</v>
      </c>
      <c r="R281" s="6">
        <v>97.78</v>
      </c>
      <c r="S281" s="6">
        <v>97.2</v>
      </c>
      <c r="T281" s="4">
        <v>100.79</v>
      </c>
      <c r="U281" s="5">
        <v>105.5</v>
      </c>
      <c r="V281" s="6">
        <v>95.802222222221999</v>
      </c>
      <c r="W281" s="6">
        <v>85.611111111111001</v>
      </c>
      <c r="X281" s="5">
        <v>104.35666666666999</v>
      </c>
      <c r="Y281" s="3">
        <v>0</v>
      </c>
      <c r="Z281">
        <f>VLOOKUP(A281,[1]Worksheet!$A$1:$A$510,1,0)</f>
        <v>418</v>
      </c>
      <c r="AA281">
        <f t="shared" si="4"/>
        <v>1</v>
      </c>
    </row>
    <row r="282" spans="1:27" hidden="1" x14ac:dyDescent="0.3">
      <c r="A282" s="1">
        <v>420</v>
      </c>
      <c r="B282" s="1" t="s">
        <v>738</v>
      </c>
      <c r="C282" s="1" t="s">
        <v>47</v>
      </c>
      <c r="D282" s="1" t="s">
        <v>303</v>
      </c>
      <c r="E282" s="1" t="s">
        <v>28</v>
      </c>
      <c r="F282" s="1" t="s">
        <v>36</v>
      </c>
      <c r="G282" s="1" t="s">
        <v>30</v>
      </c>
      <c r="H282" s="1" t="s">
        <v>153</v>
      </c>
      <c r="I282" s="1">
        <v>100</v>
      </c>
      <c r="J282" s="1" t="s">
        <v>739</v>
      </c>
      <c r="K282" s="1" t="s">
        <v>186</v>
      </c>
      <c r="L282" s="1" t="s">
        <v>34</v>
      </c>
      <c r="M282" s="1" t="s">
        <v>34</v>
      </c>
      <c r="N282" s="4">
        <v>100</v>
      </c>
      <c r="O282" s="4">
        <v>100.3</v>
      </c>
      <c r="P282" s="5">
        <v>108.52</v>
      </c>
      <c r="Q282" s="5">
        <v>122.2</v>
      </c>
      <c r="R282" s="6">
        <v>96.67</v>
      </c>
      <c r="S282" s="5">
        <v>102.36</v>
      </c>
      <c r="T282" s="6">
        <v>89.33</v>
      </c>
      <c r="U282" s="3" t="s">
        <v>59</v>
      </c>
      <c r="V282" s="4">
        <v>100</v>
      </c>
      <c r="W282" s="6">
        <v>94.69</v>
      </c>
      <c r="X282" s="5">
        <v>106.53</v>
      </c>
      <c r="Y282" s="3">
        <v>0</v>
      </c>
      <c r="Z282">
        <f>VLOOKUP(A282,[1]Worksheet!$A$1:$A$510,1,0)</f>
        <v>420</v>
      </c>
      <c r="AA282">
        <f t="shared" si="4"/>
        <v>1</v>
      </c>
    </row>
    <row r="283" spans="1:27" hidden="1" x14ac:dyDescent="0.3">
      <c r="A283" s="1">
        <v>431</v>
      </c>
      <c r="B283" s="1" t="s">
        <v>775</v>
      </c>
      <c r="C283" s="1" t="s">
        <v>26</v>
      </c>
      <c r="D283" s="1" t="s">
        <v>52</v>
      </c>
      <c r="E283" s="1" t="s">
        <v>28</v>
      </c>
      <c r="F283" s="1" t="s">
        <v>36</v>
      </c>
      <c r="G283" s="1" t="s">
        <v>30</v>
      </c>
      <c r="H283" s="1" t="s">
        <v>31</v>
      </c>
      <c r="I283" s="1">
        <v>100</v>
      </c>
      <c r="J283" s="1" t="s">
        <v>776</v>
      </c>
      <c r="K283" s="1" t="s">
        <v>33</v>
      </c>
      <c r="L283" s="1" t="s">
        <v>33</v>
      </c>
      <c r="M283" s="1" t="s">
        <v>34</v>
      </c>
      <c r="N283" s="4">
        <v>100</v>
      </c>
      <c r="O283" s="4">
        <v>100</v>
      </c>
      <c r="P283" s="4">
        <v>100</v>
      </c>
      <c r="Q283" s="4">
        <v>100</v>
      </c>
      <c r="R283" s="4">
        <v>100</v>
      </c>
      <c r="S283" s="4">
        <v>100</v>
      </c>
      <c r="T283" s="4">
        <v>100</v>
      </c>
      <c r="U283" s="4">
        <v>100</v>
      </c>
      <c r="V283" s="4">
        <v>100</v>
      </c>
      <c r="W283" s="4">
        <v>100</v>
      </c>
      <c r="X283" s="3"/>
      <c r="Y283" s="3"/>
      <c r="Z283">
        <f>VLOOKUP(A283,[1]Worksheet!$A$1:$A$510,1,0)</f>
        <v>431</v>
      </c>
      <c r="AA283">
        <f t="shared" si="4"/>
        <v>1</v>
      </c>
    </row>
    <row r="284" spans="1:27" hidden="1" x14ac:dyDescent="0.3">
      <c r="A284" s="1">
        <v>432</v>
      </c>
      <c r="B284" s="1" t="s">
        <v>777</v>
      </c>
      <c r="C284" s="1" t="s">
        <v>26</v>
      </c>
      <c r="D284" s="1" t="s">
        <v>52</v>
      </c>
      <c r="E284" s="1" t="s">
        <v>28</v>
      </c>
      <c r="F284" s="1" t="s">
        <v>36</v>
      </c>
      <c r="G284" s="1" t="s">
        <v>30</v>
      </c>
      <c r="H284" s="1" t="s">
        <v>153</v>
      </c>
      <c r="I284" s="1">
        <v>90</v>
      </c>
      <c r="J284" s="1" t="s">
        <v>778</v>
      </c>
      <c r="K284" s="1" t="s">
        <v>186</v>
      </c>
      <c r="L284" s="1" t="s">
        <v>34</v>
      </c>
      <c r="M284" s="1" t="s">
        <v>34</v>
      </c>
      <c r="N284" s="5">
        <v>100</v>
      </c>
      <c r="O284" s="5">
        <v>100</v>
      </c>
      <c r="P284" s="5">
        <v>100</v>
      </c>
      <c r="Q284" s="5">
        <v>100</v>
      </c>
      <c r="R284" s="5">
        <v>100</v>
      </c>
      <c r="S284" s="7">
        <v>0</v>
      </c>
      <c r="T284" s="5">
        <v>100</v>
      </c>
      <c r="U284" s="5">
        <v>100</v>
      </c>
      <c r="V284" s="5">
        <v>98.765555555556006</v>
      </c>
      <c r="W284" s="5">
        <v>100</v>
      </c>
      <c r="X284" s="3" t="s">
        <v>59</v>
      </c>
      <c r="Y284" s="3" t="s">
        <v>59</v>
      </c>
      <c r="Z284">
        <f>VLOOKUP(A284,[1]Worksheet!$A$1:$A$510,1,0)</f>
        <v>432</v>
      </c>
      <c r="AA284">
        <f t="shared" si="4"/>
        <v>1</v>
      </c>
    </row>
    <row r="285" spans="1:27" hidden="1" x14ac:dyDescent="0.3">
      <c r="A285" s="1">
        <v>453</v>
      </c>
      <c r="B285" s="1" t="s">
        <v>827</v>
      </c>
      <c r="C285" s="1" t="s">
        <v>26</v>
      </c>
      <c r="D285" s="1" t="s">
        <v>610</v>
      </c>
      <c r="E285" s="1" t="s">
        <v>28</v>
      </c>
      <c r="F285" s="1" t="s">
        <v>36</v>
      </c>
      <c r="G285" s="1" t="s">
        <v>30</v>
      </c>
      <c r="H285" s="1" t="s">
        <v>31</v>
      </c>
      <c r="I285" s="1">
        <v>100</v>
      </c>
      <c r="J285" s="1" t="s">
        <v>828</v>
      </c>
      <c r="K285" s="1" t="s">
        <v>33</v>
      </c>
      <c r="L285" s="1" t="s">
        <v>33</v>
      </c>
      <c r="M285" s="1" t="s">
        <v>34</v>
      </c>
      <c r="N285" s="4">
        <v>100</v>
      </c>
      <c r="O285" s="4">
        <v>100</v>
      </c>
      <c r="P285" s="4">
        <v>100</v>
      </c>
      <c r="Q285" s="7">
        <v>48</v>
      </c>
      <c r="R285" s="5">
        <v>148</v>
      </c>
      <c r="S285" s="5">
        <v>300</v>
      </c>
      <c r="T285" s="5">
        <v>140</v>
      </c>
      <c r="U285" s="9">
        <v>52</v>
      </c>
      <c r="V285" s="3"/>
      <c r="W285" s="3"/>
      <c r="X285" s="3"/>
      <c r="Y285" s="3"/>
      <c r="Z285">
        <f>VLOOKUP(A285,[1]Worksheet!$A$1:$A$510,1,0)</f>
        <v>453</v>
      </c>
      <c r="AA285">
        <f t="shared" si="4"/>
        <v>1</v>
      </c>
    </row>
    <row r="286" spans="1:27" hidden="1" x14ac:dyDescent="0.3">
      <c r="A286" s="1">
        <v>455</v>
      </c>
      <c r="B286" s="1" t="s">
        <v>829</v>
      </c>
      <c r="C286" s="1" t="s">
        <v>47</v>
      </c>
      <c r="D286" s="1" t="s">
        <v>610</v>
      </c>
      <c r="E286" s="1" t="s">
        <v>28</v>
      </c>
      <c r="F286" s="1" t="s">
        <v>36</v>
      </c>
      <c r="G286" s="1" t="s">
        <v>30</v>
      </c>
      <c r="H286" s="1" t="s">
        <v>31</v>
      </c>
      <c r="I286" s="1">
        <v>100</v>
      </c>
      <c r="J286" s="1" t="s">
        <v>830</v>
      </c>
      <c r="K286" s="1" t="s">
        <v>33</v>
      </c>
      <c r="L286" s="1" t="s">
        <v>33</v>
      </c>
      <c r="M286" s="1" t="s">
        <v>34</v>
      </c>
      <c r="N286" s="4">
        <v>100</v>
      </c>
      <c r="O286" s="4">
        <v>100</v>
      </c>
      <c r="P286" s="4">
        <v>100</v>
      </c>
      <c r="Q286" s="4">
        <v>100</v>
      </c>
      <c r="R286" s="4">
        <v>100</v>
      </c>
      <c r="S286" s="4">
        <v>100</v>
      </c>
      <c r="T286" s="3"/>
      <c r="U286" s="3"/>
      <c r="V286" s="3"/>
      <c r="W286" s="3"/>
      <c r="X286" s="3"/>
      <c r="Y286" s="3"/>
      <c r="Z286">
        <f>VLOOKUP(A286,[1]Worksheet!$A$1:$A$510,1,0)</f>
        <v>455</v>
      </c>
      <c r="AA286">
        <f t="shared" si="4"/>
        <v>1</v>
      </c>
    </row>
    <row r="287" spans="1:27" hidden="1" x14ac:dyDescent="0.3">
      <c r="A287" s="1">
        <v>456</v>
      </c>
      <c r="B287" s="1" t="s">
        <v>831</v>
      </c>
      <c r="C287" s="1" t="s">
        <v>26</v>
      </c>
      <c r="D287" s="1" t="s">
        <v>83</v>
      </c>
      <c r="E287" s="1" t="s">
        <v>44</v>
      </c>
      <c r="F287" s="1" t="s">
        <v>36</v>
      </c>
      <c r="G287" s="1" t="s">
        <v>30</v>
      </c>
      <c r="H287" s="1" t="s">
        <v>153</v>
      </c>
      <c r="I287" s="1">
        <v>100</v>
      </c>
      <c r="J287" s="1" t="s">
        <v>832</v>
      </c>
      <c r="K287" s="1" t="s">
        <v>207</v>
      </c>
      <c r="L287" s="1" t="s">
        <v>34</v>
      </c>
      <c r="M287" s="1" t="s">
        <v>34</v>
      </c>
      <c r="N287" s="3"/>
      <c r="O287" s="3"/>
      <c r="P287" s="4">
        <v>104.12</v>
      </c>
      <c r="Q287" s="5">
        <v>106.25</v>
      </c>
      <c r="R287" s="6">
        <v>94.69</v>
      </c>
      <c r="S287" s="3" t="s">
        <v>59</v>
      </c>
      <c r="T287" s="4">
        <v>100</v>
      </c>
      <c r="U287" s="3"/>
      <c r="V287" s="3" t="s">
        <v>59</v>
      </c>
      <c r="W287" s="3" t="s">
        <v>59</v>
      </c>
      <c r="X287" s="3" t="s">
        <v>59</v>
      </c>
      <c r="Y287" s="3" t="s">
        <v>59</v>
      </c>
      <c r="Z287">
        <f>VLOOKUP(A287,[1]Worksheet!$A$1:$A$510,1,0)</f>
        <v>456</v>
      </c>
      <c r="AA287">
        <f t="shared" si="4"/>
        <v>1</v>
      </c>
    </row>
    <row r="288" spans="1:27" hidden="1" x14ac:dyDescent="0.3">
      <c r="A288" s="1">
        <v>457</v>
      </c>
      <c r="B288" s="1" t="s">
        <v>835</v>
      </c>
      <c r="C288" s="1" t="s">
        <v>26</v>
      </c>
      <c r="D288" s="1" t="s">
        <v>83</v>
      </c>
      <c r="E288" s="1" t="s">
        <v>28</v>
      </c>
      <c r="F288" s="1" t="s">
        <v>36</v>
      </c>
      <c r="G288" s="1" t="s">
        <v>30</v>
      </c>
      <c r="H288" s="1" t="s">
        <v>153</v>
      </c>
      <c r="I288" s="1">
        <v>100</v>
      </c>
      <c r="J288" s="1" t="s">
        <v>836</v>
      </c>
      <c r="K288" s="1" t="s">
        <v>207</v>
      </c>
      <c r="L288" s="1" t="s">
        <v>34</v>
      </c>
      <c r="M288" s="1" t="s">
        <v>34</v>
      </c>
      <c r="N288" s="3"/>
      <c r="O288" s="3"/>
      <c r="P288" s="6">
        <v>83.33</v>
      </c>
      <c r="Q288" s="5">
        <v>200</v>
      </c>
      <c r="R288" s="7">
        <v>70</v>
      </c>
      <c r="S288" s="3" t="s">
        <v>59</v>
      </c>
      <c r="T288" s="6">
        <v>90</v>
      </c>
      <c r="U288" s="3"/>
      <c r="V288" s="3" t="s">
        <v>59</v>
      </c>
      <c r="W288" s="3" t="s">
        <v>59</v>
      </c>
      <c r="X288" s="3" t="s">
        <v>59</v>
      </c>
      <c r="Y288" s="3" t="s">
        <v>59</v>
      </c>
      <c r="Z288">
        <f>VLOOKUP(A288,[1]Worksheet!$A$1:$A$510,1,0)</f>
        <v>457</v>
      </c>
      <c r="AA288">
        <f t="shared" si="4"/>
        <v>1</v>
      </c>
    </row>
    <row r="289" spans="1:27" hidden="1" x14ac:dyDescent="0.3">
      <c r="A289" s="1">
        <v>469</v>
      </c>
      <c r="B289" s="1" t="s">
        <v>845</v>
      </c>
      <c r="C289" s="1" t="s">
        <v>47</v>
      </c>
      <c r="D289" s="1" t="s">
        <v>303</v>
      </c>
      <c r="E289" s="1" t="s">
        <v>28</v>
      </c>
      <c r="F289" s="1" t="s">
        <v>36</v>
      </c>
      <c r="G289" s="1" t="s">
        <v>30</v>
      </c>
      <c r="H289" s="1" t="s">
        <v>153</v>
      </c>
      <c r="I289" s="1">
        <v>100</v>
      </c>
      <c r="J289" s="1" t="s">
        <v>846</v>
      </c>
      <c r="K289" s="1" t="s">
        <v>186</v>
      </c>
      <c r="L289" s="1" t="s">
        <v>34</v>
      </c>
      <c r="M289" s="1" t="s">
        <v>34</v>
      </c>
      <c r="N289" s="6">
        <v>99.13</v>
      </c>
      <c r="O289" s="6">
        <v>92.65</v>
      </c>
      <c r="P289" s="4">
        <v>103.52</v>
      </c>
      <c r="Q289" s="5">
        <v>118.03</v>
      </c>
      <c r="R289" s="6">
        <v>99.7</v>
      </c>
      <c r="S289" s="6">
        <v>94.86</v>
      </c>
      <c r="T289" s="5">
        <v>114.33</v>
      </c>
      <c r="U289" s="5">
        <v>195.07</v>
      </c>
      <c r="V289" s="3" t="s">
        <v>59</v>
      </c>
      <c r="W289" s="3" t="s">
        <v>59</v>
      </c>
      <c r="X289" s="3"/>
      <c r="Y289" s="3" t="s">
        <v>59</v>
      </c>
      <c r="Z289">
        <f>VLOOKUP(A289,[1]Worksheet!$A$1:$A$510,1,0)</f>
        <v>469</v>
      </c>
      <c r="AA289">
        <f t="shared" si="4"/>
        <v>1</v>
      </c>
    </row>
    <row r="290" spans="1:27" hidden="1" x14ac:dyDescent="0.3">
      <c r="A290" s="1">
        <v>470</v>
      </c>
      <c r="B290" s="1" t="s">
        <v>867</v>
      </c>
      <c r="C290" s="1" t="s">
        <v>47</v>
      </c>
      <c r="D290" s="1" t="s">
        <v>303</v>
      </c>
      <c r="E290" s="1" t="s">
        <v>28</v>
      </c>
      <c r="F290" s="1" t="s">
        <v>36</v>
      </c>
      <c r="G290" s="1" t="s">
        <v>30</v>
      </c>
      <c r="H290" s="1" t="s">
        <v>153</v>
      </c>
      <c r="I290" s="1">
        <v>100</v>
      </c>
      <c r="J290" s="1" t="s">
        <v>868</v>
      </c>
      <c r="K290" s="1" t="s">
        <v>186</v>
      </c>
      <c r="L290" s="1" t="s">
        <v>34</v>
      </c>
      <c r="M290" s="1" t="s">
        <v>34</v>
      </c>
      <c r="N290" s="4">
        <v>100</v>
      </c>
      <c r="O290" s="5">
        <v>105.6</v>
      </c>
      <c r="P290" s="5">
        <v>148.38</v>
      </c>
      <c r="Q290" s="5">
        <v>352.81</v>
      </c>
      <c r="R290" s="4">
        <v>100</v>
      </c>
      <c r="S290" s="5">
        <v>104.86</v>
      </c>
      <c r="T290" s="5">
        <v>118.1</v>
      </c>
      <c r="U290" s="6">
        <v>79.599999999999994</v>
      </c>
      <c r="V290" s="3" t="s">
        <v>59</v>
      </c>
      <c r="W290" s="3" t="s">
        <v>59</v>
      </c>
      <c r="X290" s="3" t="s">
        <v>59</v>
      </c>
      <c r="Y290" s="3" t="s">
        <v>59</v>
      </c>
      <c r="Z290">
        <f>VLOOKUP(A290,[1]Worksheet!$A$1:$A$510,1,0)</f>
        <v>470</v>
      </c>
      <c r="AA290">
        <f t="shared" si="4"/>
        <v>1</v>
      </c>
    </row>
    <row r="291" spans="1:27" hidden="1" x14ac:dyDescent="0.3">
      <c r="A291" s="1">
        <v>471</v>
      </c>
      <c r="B291" s="1" t="s">
        <v>879</v>
      </c>
      <c r="C291" s="1" t="s">
        <v>47</v>
      </c>
      <c r="D291" s="1" t="s">
        <v>303</v>
      </c>
      <c r="E291" s="1" t="s">
        <v>28</v>
      </c>
      <c r="F291" s="1" t="s">
        <v>36</v>
      </c>
      <c r="G291" s="1" t="s">
        <v>30</v>
      </c>
      <c r="H291" s="1" t="s">
        <v>153</v>
      </c>
      <c r="I291" s="1">
        <v>100</v>
      </c>
      <c r="J291" s="1" t="s">
        <v>880</v>
      </c>
      <c r="K291" s="1" t="s">
        <v>186</v>
      </c>
      <c r="L291" s="1" t="s">
        <v>34</v>
      </c>
      <c r="M291" s="1" t="s">
        <v>34</v>
      </c>
      <c r="N291" s="4">
        <v>99.86</v>
      </c>
      <c r="O291" s="4">
        <v>98.93</v>
      </c>
      <c r="P291" s="6">
        <v>94.02</v>
      </c>
      <c r="Q291" s="4">
        <v>103.51</v>
      </c>
      <c r="R291" s="4">
        <v>99</v>
      </c>
      <c r="S291" s="6">
        <v>91.07</v>
      </c>
      <c r="T291" s="5">
        <v>105.56</v>
      </c>
      <c r="U291" s="5">
        <v>108.48</v>
      </c>
      <c r="V291" s="3" t="s">
        <v>59</v>
      </c>
      <c r="W291" s="3" t="s">
        <v>59</v>
      </c>
      <c r="X291" s="3" t="s">
        <v>59</v>
      </c>
      <c r="Y291" s="3" t="s">
        <v>59</v>
      </c>
      <c r="Z291">
        <f>VLOOKUP(A291,[1]Worksheet!$A$1:$A$510,1,0)</f>
        <v>471</v>
      </c>
      <c r="AA291">
        <f t="shared" si="4"/>
        <v>1</v>
      </c>
    </row>
    <row r="292" spans="1:27" hidden="1" x14ac:dyDescent="0.3">
      <c r="A292" s="1">
        <v>484</v>
      </c>
      <c r="B292" s="1" t="s">
        <v>920</v>
      </c>
      <c r="C292" s="1" t="s">
        <v>26</v>
      </c>
      <c r="D292" s="1" t="s">
        <v>52</v>
      </c>
      <c r="E292" s="1" t="s">
        <v>28</v>
      </c>
      <c r="F292" s="1" t="s">
        <v>36</v>
      </c>
      <c r="G292" s="1" t="s">
        <v>30</v>
      </c>
      <c r="H292" s="1" t="s">
        <v>31</v>
      </c>
      <c r="I292" s="1">
        <v>90</v>
      </c>
      <c r="J292" s="1" t="s">
        <v>921</v>
      </c>
      <c r="K292" s="1" t="s">
        <v>33</v>
      </c>
      <c r="L292" s="1" t="s">
        <v>33</v>
      </c>
      <c r="M292" s="1" t="s">
        <v>34</v>
      </c>
      <c r="N292" s="4">
        <v>100</v>
      </c>
      <c r="O292" s="4">
        <v>100</v>
      </c>
      <c r="P292" s="4">
        <v>100</v>
      </c>
      <c r="Q292" s="4">
        <v>100</v>
      </c>
      <c r="R292" s="4">
        <v>100</v>
      </c>
      <c r="S292" s="4">
        <v>100</v>
      </c>
      <c r="T292" s="4">
        <v>100</v>
      </c>
      <c r="U292" s="3"/>
      <c r="V292" s="3"/>
      <c r="W292" s="3"/>
      <c r="X292" s="3"/>
      <c r="Y292" s="3"/>
      <c r="Z292">
        <f>VLOOKUP(A292,[1]Worksheet!$A$1:$A$510,1,0)</f>
        <v>484</v>
      </c>
      <c r="AA292">
        <f t="shared" si="4"/>
        <v>1</v>
      </c>
    </row>
    <row r="293" spans="1:27" x14ac:dyDescent="0.3">
      <c r="A293" s="1">
        <v>510</v>
      </c>
      <c r="B293" s="1" t="s">
        <v>1012</v>
      </c>
      <c r="C293" s="1" t="s">
        <v>26</v>
      </c>
      <c r="D293" s="1" t="s">
        <v>810</v>
      </c>
      <c r="E293" s="1" t="s">
        <v>28</v>
      </c>
      <c r="F293" s="1" t="s">
        <v>36</v>
      </c>
      <c r="G293" s="1" t="s">
        <v>30</v>
      </c>
      <c r="H293" s="1" t="s">
        <v>153</v>
      </c>
      <c r="I293" s="1" t="s">
        <v>117</v>
      </c>
      <c r="J293" s="1" t="s">
        <v>1013</v>
      </c>
      <c r="K293" s="1" t="s">
        <v>155</v>
      </c>
      <c r="L293" s="1" t="s">
        <v>34</v>
      </c>
      <c r="M293" s="1" t="s">
        <v>34</v>
      </c>
      <c r="N293" s="8">
        <v>0</v>
      </c>
      <c r="O293" s="8">
        <v>0</v>
      </c>
      <c r="P293" s="8">
        <v>0</v>
      </c>
      <c r="Q293" s="8">
        <v>0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/>
      <c r="Y293" s="3" t="s">
        <v>59</v>
      </c>
      <c r="Z293" t="e">
        <f>VLOOKUP(A293,[1]Worksheet!$A$1:$A$510,1,0)</f>
        <v>#N/A</v>
      </c>
      <c r="AA293">
        <f t="shared" si="4"/>
        <v>1</v>
      </c>
    </row>
    <row r="294" spans="1:27" x14ac:dyDescent="0.3">
      <c r="A294" s="1">
        <v>511</v>
      </c>
      <c r="B294" s="1" t="s">
        <v>1016</v>
      </c>
      <c r="C294" s="1" t="s">
        <v>26</v>
      </c>
      <c r="D294" s="1" t="s">
        <v>810</v>
      </c>
      <c r="E294" s="1" t="s">
        <v>28</v>
      </c>
      <c r="F294" s="1" t="s">
        <v>36</v>
      </c>
      <c r="G294" s="1" t="s">
        <v>30</v>
      </c>
      <c r="H294" s="1" t="s">
        <v>153</v>
      </c>
      <c r="I294" s="1" t="s">
        <v>117</v>
      </c>
      <c r="J294" s="1" t="s">
        <v>1017</v>
      </c>
      <c r="K294" s="1" t="s">
        <v>155</v>
      </c>
      <c r="L294" s="1" t="s">
        <v>34</v>
      </c>
      <c r="M294" s="1" t="s">
        <v>34</v>
      </c>
      <c r="N294" s="8">
        <v>84.76</v>
      </c>
      <c r="O294" s="8">
        <v>86.36</v>
      </c>
      <c r="P294" s="8">
        <v>86.36</v>
      </c>
      <c r="Q294" s="3" t="s">
        <v>59</v>
      </c>
      <c r="R294" s="3" t="s">
        <v>59</v>
      </c>
      <c r="S294" s="3" t="s">
        <v>59</v>
      </c>
      <c r="T294" s="3" t="s">
        <v>59</v>
      </c>
      <c r="U294" s="3" t="s">
        <v>59</v>
      </c>
      <c r="V294" s="3" t="s">
        <v>59</v>
      </c>
      <c r="W294" s="3" t="s">
        <v>59</v>
      </c>
      <c r="X294" s="3"/>
      <c r="Y294" s="3" t="s">
        <v>59</v>
      </c>
      <c r="Z294" t="e">
        <f>VLOOKUP(A294,[1]Worksheet!$A$1:$A$510,1,0)</f>
        <v>#N/A</v>
      </c>
      <c r="AA294">
        <f t="shared" si="4"/>
        <v>1</v>
      </c>
    </row>
    <row r="295" spans="1:27" x14ac:dyDescent="0.3">
      <c r="A295" s="1">
        <v>513</v>
      </c>
      <c r="B295" s="1" t="s">
        <v>1032</v>
      </c>
      <c r="C295" s="1" t="s">
        <v>26</v>
      </c>
      <c r="D295" s="1" t="s">
        <v>810</v>
      </c>
      <c r="E295" s="1" t="s">
        <v>28</v>
      </c>
      <c r="F295" s="1" t="s">
        <v>36</v>
      </c>
      <c r="G295" s="1" t="s">
        <v>30</v>
      </c>
      <c r="H295" s="1" t="s">
        <v>31</v>
      </c>
      <c r="I295" s="1" t="s">
        <v>117</v>
      </c>
      <c r="J295" s="1" t="s">
        <v>1033</v>
      </c>
      <c r="K295" s="1" t="s">
        <v>33</v>
      </c>
      <c r="L295" s="1" t="s">
        <v>33</v>
      </c>
      <c r="M295" s="1" t="s">
        <v>34</v>
      </c>
      <c r="N295" s="3" t="s">
        <v>59</v>
      </c>
      <c r="O295" s="3" t="s">
        <v>59</v>
      </c>
      <c r="P295" s="8">
        <v>100</v>
      </c>
      <c r="Q295" s="8">
        <v>100</v>
      </c>
      <c r="R295" s="3"/>
      <c r="S295" s="3"/>
      <c r="T295" s="3"/>
      <c r="U295" s="3"/>
      <c r="V295" s="3"/>
      <c r="W295" s="3"/>
      <c r="X295" s="3"/>
      <c r="Y295" s="3"/>
      <c r="Z295" t="e">
        <f>VLOOKUP(A295,[1]Worksheet!$A$1:$A$510,1,0)</f>
        <v>#N/A</v>
      </c>
      <c r="AA295">
        <f t="shared" si="4"/>
        <v>1</v>
      </c>
    </row>
    <row r="296" spans="1:27" x14ac:dyDescent="0.3">
      <c r="A296" s="1">
        <v>518</v>
      </c>
      <c r="B296" s="1" t="s">
        <v>1040</v>
      </c>
      <c r="C296" s="1" t="s">
        <v>47</v>
      </c>
      <c r="D296" s="1" t="s">
        <v>91</v>
      </c>
      <c r="E296" s="1" t="s">
        <v>28</v>
      </c>
      <c r="F296" s="1" t="s">
        <v>36</v>
      </c>
      <c r="G296" s="1" t="s">
        <v>30</v>
      </c>
      <c r="H296" s="1" t="s">
        <v>31</v>
      </c>
      <c r="I296" s="1">
        <v>100</v>
      </c>
      <c r="J296" s="1" t="s">
        <v>1041</v>
      </c>
      <c r="K296" s="1" t="s">
        <v>33</v>
      </c>
      <c r="L296" s="1" t="s">
        <v>33</v>
      </c>
      <c r="M296" s="1" t="s">
        <v>34</v>
      </c>
      <c r="N296" s="5">
        <v>137.5</v>
      </c>
      <c r="O296" s="5">
        <v>120</v>
      </c>
      <c r="P296" s="6">
        <v>87.5</v>
      </c>
      <c r="Q296" s="6">
        <v>83.333333333333002</v>
      </c>
      <c r="R296" s="3"/>
      <c r="Z296" t="e">
        <f>VLOOKUP(A296,[1]Worksheet!$A$1:$A$510,1,0)</f>
        <v>#N/A</v>
      </c>
      <c r="AA296">
        <f t="shared" si="4"/>
        <v>1</v>
      </c>
    </row>
    <row r="297" spans="1:27" x14ac:dyDescent="0.3">
      <c r="A297" s="1">
        <v>526</v>
      </c>
      <c r="B297" s="1" t="s">
        <v>1068</v>
      </c>
      <c r="C297" s="1" t="s">
        <v>26</v>
      </c>
      <c r="D297" s="1" t="s">
        <v>400</v>
      </c>
      <c r="E297" s="1" t="s">
        <v>28</v>
      </c>
      <c r="F297" s="1" t="s">
        <v>36</v>
      </c>
      <c r="G297" s="1" t="s">
        <v>30</v>
      </c>
      <c r="H297" s="1" t="s">
        <v>31</v>
      </c>
      <c r="I297" s="1">
        <v>85</v>
      </c>
      <c r="J297" s="1" t="s">
        <v>1069</v>
      </c>
      <c r="K297" s="1" t="s">
        <v>33</v>
      </c>
      <c r="L297" s="1" t="s">
        <v>33</v>
      </c>
      <c r="M297" s="1" t="s">
        <v>34</v>
      </c>
      <c r="N297" s="3"/>
      <c r="O297" s="5">
        <v>96.6</v>
      </c>
      <c r="P297" s="3" t="s">
        <v>59</v>
      </c>
      <c r="Q297" s="3"/>
      <c r="R297" s="3"/>
      <c r="S297" s="3"/>
      <c r="T297" s="3"/>
      <c r="U297" s="3"/>
      <c r="V297" s="3"/>
      <c r="W297" s="3"/>
      <c r="X297" s="3"/>
      <c r="Y297" s="3"/>
      <c r="Z297" t="e">
        <f>VLOOKUP(A297,[1]Worksheet!$A$1:$A$510,1,0)</f>
        <v>#N/A</v>
      </c>
      <c r="AA297">
        <f t="shared" si="4"/>
        <v>1</v>
      </c>
    </row>
    <row r="298" spans="1:27" x14ac:dyDescent="0.3">
      <c r="A298" s="1">
        <v>529</v>
      </c>
      <c r="B298" s="1" t="s">
        <v>1074</v>
      </c>
      <c r="C298" s="1" t="s">
        <v>26</v>
      </c>
      <c r="D298" s="1" t="s">
        <v>86</v>
      </c>
      <c r="E298" s="1" t="s">
        <v>40</v>
      </c>
      <c r="F298" s="1" t="s">
        <v>36</v>
      </c>
      <c r="G298" s="1" t="s">
        <v>30</v>
      </c>
      <c r="H298" s="1" t="s">
        <v>153</v>
      </c>
      <c r="I298" s="1">
        <v>90</v>
      </c>
      <c r="J298" s="1" t="s">
        <v>1075</v>
      </c>
      <c r="K298" s="1" t="s">
        <v>155</v>
      </c>
      <c r="L298" s="1" t="s">
        <v>34</v>
      </c>
      <c r="M298" s="1" t="s">
        <v>34</v>
      </c>
      <c r="N298" s="5">
        <v>97.97</v>
      </c>
      <c r="O298" s="5">
        <v>196.19</v>
      </c>
      <c r="P298" s="3" t="s">
        <v>59</v>
      </c>
      <c r="Q298" s="3" t="s">
        <v>59</v>
      </c>
      <c r="R298" s="3" t="s">
        <v>59</v>
      </c>
      <c r="S298" s="3" t="s">
        <v>59</v>
      </c>
      <c r="T298" s="3" t="s">
        <v>59</v>
      </c>
      <c r="U298" s="3" t="s">
        <v>59</v>
      </c>
      <c r="V298" s="3" t="s">
        <v>59</v>
      </c>
      <c r="W298" s="3" t="s">
        <v>59</v>
      </c>
      <c r="X298" s="3"/>
      <c r="Y298" s="3" t="s">
        <v>59</v>
      </c>
      <c r="Z298" t="e">
        <f>VLOOKUP(A298,[1]Worksheet!$A$1:$A$510,1,0)</f>
        <v>#N/A</v>
      </c>
      <c r="AA298">
        <f t="shared" si="4"/>
        <v>1</v>
      </c>
    </row>
  </sheetData>
  <sheetProtection formatCells="0" formatColumns="0" formatRows="0" insertColumns="0" insertRows="0" insertHyperlinks="0" deleteColumns="0" deleteRows="0" sort="0" autoFilter="0" pivotTables="0"/>
  <autoFilter ref="A1:AA298" xr:uid="{2C20A0A1-9BF9-429B-8551-A92A07A2B5F1}">
    <filterColumn colId="25">
      <filters>
        <filter val="#N/D"/>
      </filters>
    </filterColumn>
  </autoFilter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Worksheet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2026-03-08T01:13:15Z</dcterms:created>
  <dcterms:modified xsi:type="dcterms:W3CDTF">2026-03-12T04:40:24Z</dcterms:modified>
</cp:coreProperties>
</file>